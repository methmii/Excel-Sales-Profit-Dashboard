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mc:AlternateContent xmlns:mc="http://schemas.openxmlformats.org/markup-compatibility/2006">
    <mc:Choice Requires="x15">
      <x15ac:absPath xmlns:x15ac="http://schemas.microsoft.com/office/spreadsheetml/2010/11/ac" url="D:\powerBI\"/>
    </mc:Choice>
  </mc:AlternateContent>
  <xr:revisionPtr revIDLastSave="0" documentId="13_ncr:1_{D3BBE902-5E3E-4976-AF7C-8D5890B22EFB}" xr6:coauthVersionLast="45" xr6:coauthVersionMax="47" xr10:uidLastSave="{00000000-0000-0000-0000-000000000000}"/>
  <bookViews>
    <workbookView xWindow="-108" yWindow="-108" windowWidth="23256" windowHeight="12456" activeTab="2" xr2:uid="{70521DF1-53EF-4629-BA92-147E36F41957}"/>
  </bookViews>
  <sheets>
    <sheet name="Sheet1" sheetId="1" r:id="rId1"/>
    <sheet name="pivotable" sheetId="2" r:id="rId2"/>
    <sheet name="Dashboard" sheetId="3" r:id="rId3"/>
  </sheets>
  <definedNames>
    <definedName name="_xlnm._FilterDatabase" localSheetId="0" hidden="1">Sheet1!$A$1:$K$8315</definedName>
    <definedName name="Slicer_Category">#N/A</definedName>
    <definedName name="Slicer_Month">#N/A</definedName>
    <definedName name="Slicer_Year">#N/A</definedName>
  </definedNames>
  <calcPr calcId="181029"/>
  <pivotCaches>
    <pivotCache cacheId="1" r:id="rId4"/>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45" i="2" l="1"/>
  <c r="Z45" i="2"/>
  <c r="Y46" i="2"/>
  <c r="Z46" i="2"/>
  <c r="Y47" i="2"/>
  <c r="Z47" i="2"/>
  <c r="Y48" i="2"/>
  <c r="Z48" i="2"/>
  <c r="Y49" i="2"/>
  <c r="Z49" i="2"/>
  <c r="Y50" i="2"/>
  <c r="Z50" i="2"/>
  <c r="Y51" i="2"/>
  <c r="Z51" i="2"/>
  <c r="Y52" i="2"/>
  <c r="Z52" i="2"/>
  <c r="Y53" i="2"/>
  <c r="Z53" i="2"/>
  <c r="Y54" i="2"/>
  <c r="Z54" i="2"/>
  <c r="Y55" i="2"/>
  <c r="Z55" i="2"/>
  <c r="Y56" i="2"/>
  <c r="Z56" i="2"/>
  <c r="Y31" i="2"/>
  <c r="Z31" i="2"/>
  <c r="Y32" i="2"/>
  <c r="Z32" i="2"/>
  <c r="Y33" i="2"/>
  <c r="Z33" i="2"/>
  <c r="Y34" i="2"/>
  <c r="Z34" i="2"/>
  <c r="Y35" i="2"/>
  <c r="Z35" i="2"/>
  <c r="Y36" i="2"/>
  <c r="Z36" i="2"/>
  <c r="Y37" i="2"/>
  <c r="Z37" i="2"/>
  <c r="Y38" i="2"/>
  <c r="Z38" i="2"/>
  <c r="Y39" i="2"/>
  <c r="Z39" i="2"/>
  <c r="Y40" i="2"/>
  <c r="Z40" i="2"/>
  <c r="Y41" i="2"/>
  <c r="Z41" i="2"/>
  <c r="Y42" i="2"/>
  <c r="Z42" i="2"/>
  <c r="Y43" i="2"/>
  <c r="Z43" i="2"/>
  <c r="Y44" i="2"/>
  <c r="Z44" i="2"/>
  <c r="Y12" i="2"/>
  <c r="Z12" i="2"/>
  <c r="Y13" i="2"/>
  <c r="Z13" i="2"/>
  <c r="Y14" i="2"/>
  <c r="Z14" i="2"/>
  <c r="Y15" i="2"/>
  <c r="Z15" i="2"/>
  <c r="Y16" i="2"/>
  <c r="Z16" i="2"/>
  <c r="Y17" i="2"/>
  <c r="Z17" i="2"/>
  <c r="Y18" i="2"/>
  <c r="Z18" i="2"/>
  <c r="Y19" i="2"/>
  <c r="Z19" i="2"/>
  <c r="Y20" i="2"/>
  <c r="Z20" i="2"/>
  <c r="Y21" i="2"/>
  <c r="Z21" i="2"/>
  <c r="Y22" i="2"/>
  <c r="Z22" i="2"/>
  <c r="Y23" i="2"/>
  <c r="Z23" i="2"/>
  <c r="Y24" i="2"/>
  <c r="Z24" i="2"/>
  <c r="Y25" i="2"/>
  <c r="Z25" i="2"/>
  <c r="Y26" i="2"/>
  <c r="Z26" i="2"/>
  <c r="Y27" i="2"/>
  <c r="Z27" i="2"/>
  <c r="Y28" i="2"/>
  <c r="Z28" i="2"/>
  <c r="Y29" i="2"/>
  <c r="Z29" i="2"/>
  <c r="Y30" i="2"/>
  <c r="Z30" i="2"/>
  <c r="Y8" i="2"/>
  <c r="Z8" i="2"/>
  <c r="Y9" i="2"/>
  <c r="Z9" i="2"/>
  <c r="Y10" i="2"/>
  <c r="Z10" i="2"/>
  <c r="Y11" i="2"/>
  <c r="Z11" i="2"/>
  <c r="Z7" i="2"/>
  <c r="Y7" i="2"/>
  <c r="L5" i="2"/>
  <c r="L6" i="2"/>
  <c r="L7" i="2"/>
  <c r="L8" i="2"/>
  <c r="L9" i="2"/>
  <c r="L10" i="2"/>
  <c r="L11" i="2"/>
  <c r="L12" i="2"/>
  <c r="L13" i="2"/>
  <c r="L14" i="2"/>
  <c r="L15" i="2"/>
  <c r="L16" i="2"/>
  <c r="L17" i="2"/>
  <c r="L18" i="2"/>
  <c r="L19" i="2"/>
  <c r="L20" i="2"/>
  <c r="L21" i="2"/>
  <c r="L4" i="2"/>
  <c r="M21" i="2"/>
  <c r="M13" i="2"/>
  <c r="M5" i="2"/>
  <c r="M20" i="2"/>
  <c r="M12" i="2"/>
  <c r="M4" i="2"/>
  <c r="M19" i="2"/>
  <c r="M11" i="2"/>
  <c r="M18" i="2"/>
  <c r="M10" i="2"/>
  <c r="M17" i="2"/>
  <c r="M9" i="2"/>
  <c r="M8" i="2"/>
  <c r="M15" i="2"/>
  <c r="M7" i="2"/>
  <c r="A11" i="2"/>
  <c r="M6" i="2"/>
  <c r="M16" i="2"/>
  <c r="A12" i="2"/>
  <c r="M14" i="2"/>
</calcChain>
</file>

<file path=xl/sharedStrings.xml><?xml version="1.0" encoding="utf-8"?>
<sst xmlns="http://schemas.openxmlformats.org/spreadsheetml/2006/main" count="52313" uniqueCount="2726">
  <si>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</si>
  <si>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</si>
  <si>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</si>
  <si>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</si>
  <si>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</si>
  <si>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</si>
  <si>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</si>
  <si>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</si>
  <si>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</si>
  <si>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</si>
  <si>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</si>
  <si>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</si>
  <si>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</si>
  <si>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</si>
  <si>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</si>
  <si>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</si>
  <si>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</si>
  <si>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</si>
  <si>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</si>
  <si>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</si>
  <si>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</si>
  <si>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</si>
  <si>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</si>
  <si>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</si>
  <si>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</si>
  <si>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</si>
  <si>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</si>
  <si>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</si>
  <si>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</si>
  <si>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</si>
  <si>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</si>
  <si>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</si>
  <si>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</si>
  <si>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</si>
  <si>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</si>
  <si>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</si>
  <si>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</si>
  <si>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</si>
  <si>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</si>
  <si>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</si>
  <si>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</si>
  <si>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</si>
  <si>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</si>
  <si>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</si>
  <si>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</si>
  <si>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</si>
  <si>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</si>
  <si>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</si>
  <si>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</si>
  <si>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</si>
  <si>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</si>
  <si>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</si>
  <si>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</si>
  <si>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</si>
  <si>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</si>
  <si>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</si>
  <si>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</si>
  <si>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</si>
  <si>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</si>
  <si>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</si>
  <si>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</si>
  <si>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</si>
  <si>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</si>
  <si>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</si>
  <si>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</si>
  <si>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</si>
  <si>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</si>
  <si>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</si>
  <si>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</si>
  <si>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</si>
  <si>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</si>
  <si>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</si>
  <si>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</si>
  <si>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</si>
  <si>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</si>
  <si>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</si>
  <si>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</si>
  <si>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</si>
  <si>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</si>
  <si>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</si>
  <si>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</si>
  <si>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</si>
  <si>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</si>
  <si>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</si>
  <si>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</si>
  <si>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</si>
  <si>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</si>
  <si>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</si>
  <si>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</si>
  <si>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</si>
  <si>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</si>
  <si>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</si>
  <si>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</si>
  <si>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</si>
  <si>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</si>
  <si>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</si>
  <si>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</si>
  <si>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</si>
  <si>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</si>
  <si>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</si>
  <si>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</si>
  <si>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</si>
  <si>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</si>
  <si>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</si>
  <si>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</si>
  <si>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</si>
  <si>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</si>
  <si>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</si>
  <si>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</si>
  <si>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</si>
  <si>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</si>
  <si>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</si>
  <si>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</si>
  <si>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</si>
  <si>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</si>
  <si>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</si>
  <si>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</si>
  <si>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</si>
  <si>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</si>
  <si>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</si>
  <si>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</si>
  <si>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</si>
  <si>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</si>
  <si>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</si>
  <si>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</si>
  <si>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</si>
  <si>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</si>
  <si>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</si>
  <si>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</si>
  <si>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</si>
  <si>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</si>
  <si>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</si>
  <si>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</si>
  <si>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</si>
  <si>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</si>
  <si>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</si>
  <si>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</si>
  <si>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</si>
  <si>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</si>
  <si>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</si>
  <si>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</si>
  <si>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</si>
  <si>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</si>
  <si>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</si>
  <si>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</si>
  <si>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</si>
  <si>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</si>
  <si>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</si>
  <si>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</si>
  <si>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</si>
  <si>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</si>
  <si>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</si>
  <si>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</si>
  <si>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</si>
  <si>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</si>
  <si>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</si>
  <si>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</si>
  <si>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</si>
  <si>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</si>
  <si>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</si>
  <si>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</si>
  <si>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</si>
  <si>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</si>
  <si>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</si>
  <si>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</si>
  <si>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</si>
  <si>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</si>
  <si>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</si>
  <si>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</si>
  <si>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</si>
  <si>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</si>
  <si>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</si>
  <si>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</si>
  <si>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</si>
  <si>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</si>
  <si>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</si>
  <si>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</si>
  <si>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</si>
  <si>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</si>
  <si>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</si>
  <si>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</si>
  <si>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</si>
  <si>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</si>
  <si>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</si>
  <si>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</si>
  <si>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</si>
  <si>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</si>
  <si>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</si>
  <si>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</si>
  <si>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</si>
  <si>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</si>
  <si>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</si>
  <si>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</si>
  <si>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</si>
  <si>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</si>
  <si>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</si>
  <si>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</si>
  <si>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</si>
  <si>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</si>
  <si>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</si>
  <si>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</si>
  <si>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</si>
  <si>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</si>
  <si>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</si>
  <si>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</si>
  <si>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</si>
  <si>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</si>
  <si>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</si>
  <si>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</si>
  <si>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</si>
  <si>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</si>
  <si>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</si>
  <si>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</si>
  <si>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</si>
  <si>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</si>
  <si>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</si>
  <si>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</si>
  <si>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</si>
  <si>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</si>
  <si>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</si>
  <si>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</si>
  <si>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</si>
  <si>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</si>
  <si>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</si>
  <si>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</si>
  <si>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</si>
  <si>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</si>
  <si>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</si>
  <si>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</si>
  <si>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</si>
  <si>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</si>
  <si>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</si>
  <si>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</si>
  <si>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</si>
  <si>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</si>
  <si>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</si>
  <si>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</si>
  <si>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</si>
  <si>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</si>
  <si>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</si>
  <si>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</si>
  <si>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</si>
  <si>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</si>
  <si>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</si>
  <si>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</si>
  <si>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</si>
  <si>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</si>
  <si>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</si>
  <si>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</si>
  <si>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</si>
  <si>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</si>
  <si>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</si>
  <si>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</si>
  <si>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</si>
  <si>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</si>
  <si>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</si>
  <si>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</si>
  <si>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</si>
  <si>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</si>
  <si>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</si>
  <si>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</si>
  <si>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</si>
  <si>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</si>
  <si>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</si>
  <si>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</si>
  <si>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</si>
  <si>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</si>
  <si>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</si>
  <si>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</si>
  <si>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</si>
  <si>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</si>
  <si>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</si>
  <si>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</si>
  <si>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</si>
  <si>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</si>
  <si>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</si>
  <si>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</si>
  <si>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</si>
  <si>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</si>
  <si>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</si>
  <si>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</si>
  <si>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</si>
  <si>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</si>
  <si>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</si>
  <si>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</si>
  <si>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</si>
  <si>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</si>
  <si>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</si>
  <si>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</si>
  <si>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</si>
  <si>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</si>
  <si>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</si>
  <si>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</si>
  <si>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</si>
  <si>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</si>
  <si>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</si>
  <si>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</si>
  <si>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</si>
  <si>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</si>
  <si>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</si>
  <si>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</si>
  <si>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</si>
  <si>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</si>
  <si>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</si>
  <si>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</si>
  <si>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</si>
  <si>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</si>
  <si>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</si>
  <si>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</si>
  <si>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</si>
  <si>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</si>
  <si>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</si>
  <si>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</si>
  <si>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</si>
  <si>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</si>
  <si>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</si>
  <si>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</si>
  <si>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</si>
  <si>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</si>
  <si>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</si>
  <si>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</si>
  <si>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</si>
  <si>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</si>
  <si>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</si>
  <si>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</si>
  <si>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</si>
  <si>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</si>
  <si>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</si>
  <si>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</si>
  <si>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</si>
  <si>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</si>
  <si>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</si>
  <si>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</si>
  <si>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</si>
  <si>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</si>
  <si>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</si>
  <si>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</si>
  <si>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</si>
  <si>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</si>
  <si>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</si>
  <si>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</si>
  <si>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</si>
  <si>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</si>
  <si>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</si>
  <si>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</si>
  <si>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</si>
  <si>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</si>
  <si>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</si>
  <si>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</si>
  <si>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</si>
  <si>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</si>
  <si>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</si>
  <si>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</si>
  <si>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</si>
  <si>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</si>
  <si>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</si>
  <si>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</si>
  <si>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</si>
  <si>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</si>
  <si>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</si>
  <si>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</si>
  <si>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</si>
  <si>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</si>
  <si>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</si>
  <si>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</si>
  <si>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</si>
  <si>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</si>
  <si>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</si>
  <si>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</si>
  <si>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</si>
  <si>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</si>
  <si>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</si>
  <si>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</si>
  <si>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</si>
  <si>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</si>
  <si>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</si>
  <si>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</si>
  <si>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</si>
  <si>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</si>
  <si>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</si>
  <si>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</si>
  <si>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</si>
  <si>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</si>
  <si>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</si>
  <si>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</si>
  <si>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</si>
  <si>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</si>
  <si>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</si>
  <si>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</si>
  <si>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</si>
  <si>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</si>
  <si>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</si>
  <si>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</si>
  <si>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</si>
  <si>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</si>
  <si>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</si>
  <si>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</si>
  <si>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</si>
  <si>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</si>
  <si>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</si>
  <si>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</si>
  <si>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</si>
  <si>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</si>
  <si>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</si>
  <si>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</si>
  <si>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</si>
  <si>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</si>
  <si>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</si>
  <si>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</si>
  <si>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</si>
  <si>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</si>
  <si>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</si>
  <si>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</si>
  <si>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</si>
  <si>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</si>
  <si>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</si>
  <si>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</si>
  <si>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</si>
  <si>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</si>
  <si>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</si>
  <si>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</si>
  <si>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</si>
  <si>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</si>
  <si>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</si>
  <si>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</si>
  <si>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</si>
  <si>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</si>
  <si>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</si>
  <si>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</si>
  <si>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</si>
  <si>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</si>
  <si>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</si>
  <si>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</si>
  <si>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</si>
  <si>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</si>
  <si>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</si>
  <si>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</si>
  <si>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</si>
  <si>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</si>
  <si>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</si>
  <si>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</si>
  <si>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</si>
  <si>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</si>
  <si>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</si>
  <si>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</si>
  <si>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</si>
  <si>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</si>
  <si>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</si>
  <si>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</si>
  <si>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</si>
  <si>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</si>
  <si>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</si>
  <si>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</si>
  <si>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</si>
  <si>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</si>
  <si>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</si>
  <si>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</si>
  <si>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</si>
  <si>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</si>
  <si>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</si>
  <si>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</si>
  <si>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</si>
  <si>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</si>
  <si>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</si>
  <si>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</si>
  <si>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</si>
  <si>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</si>
  <si>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</si>
  <si>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</si>
  <si>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</si>
  <si>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</si>
  <si>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</si>
  <si>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</si>
  <si>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</si>
  <si>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</si>
  <si>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</si>
  <si>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</si>
  <si>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</si>
  <si>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</si>
  <si>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</si>
  <si>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</si>
  <si>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</si>
  <si>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</si>
  <si>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</si>
  <si>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</si>
  <si>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</si>
  <si>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</si>
  <si>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</si>
  <si>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</si>
  <si>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</si>
  <si>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</si>
  <si>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</si>
  <si>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</si>
  <si>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</si>
  <si>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</si>
  <si>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</si>
  <si>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</si>
  <si>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</si>
  <si>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</si>
  <si>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</si>
  <si>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</si>
  <si>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</si>
  <si>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</si>
  <si>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</si>
  <si>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</si>
  <si>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</si>
  <si>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</si>
  <si>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</si>
  <si>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</si>
  <si>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</si>
  <si>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</si>
  <si>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</si>
  <si>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</si>
  <si>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</si>
  <si>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</si>
  <si>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</si>
  <si>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</si>
  <si>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</si>
  <si>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</si>
  <si>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</si>
  <si>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</si>
  <si>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</si>
  <si>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</si>
  <si>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</si>
  <si>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</si>
  <si>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</si>
  <si>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</si>
  <si>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</si>
  <si>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</si>
  <si>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</si>
  <si>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</si>
  <si>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</si>
  <si>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</si>
  <si>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</si>
  <si>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</si>
  <si>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</si>
  <si>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</si>
  <si>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</si>
  <si>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</si>
  <si>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</si>
  <si>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</si>
  <si>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</si>
  <si>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</si>
  <si>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</si>
  <si>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</si>
  <si>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</si>
  <si>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</si>
  <si>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</si>
  <si>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</si>
  <si>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</si>
  <si>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</si>
  <si>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</si>
  <si>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</si>
  <si>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</si>
  <si>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</si>
  <si>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</si>
  <si>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</si>
  <si>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</si>
  <si>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</si>
  <si>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</si>
  <si>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</si>
  <si>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</si>
  <si>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</si>
  <si>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</si>
  <si>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</si>
  <si>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</si>
  <si>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</si>
  <si>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</si>
  <si>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</si>
  <si>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</si>
  <si>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</si>
  <si>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</si>
  <si>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</si>
  <si>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</si>
  <si>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</si>
  <si>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</si>
  <si>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</si>
  <si>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</si>
  <si>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</si>
  <si>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</si>
  <si>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</si>
  <si>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</si>
  <si>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</si>
  <si>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</si>
  <si>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</si>
  <si>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</si>
  <si>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</si>
  <si>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</si>
  <si>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</si>
  <si>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</si>
  <si>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</si>
  <si>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</si>
  <si>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</si>
  <si>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</si>
  <si>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</si>
  <si>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</si>
  <si>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</si>
  <si>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</si>
  <si>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</si>
  <si>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</si>
  <si>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</si>
  <si>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</si>
  <si>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</si>
  <si>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</si>
  <si>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</si>
  <si>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</si>
  <si>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</si>
  <si>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</si>
  <si>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</si>
  <si>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</si>
  <si>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</si>
  <si>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</si>
  <si>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</si>
  <si>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</si>
  <si>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</si>
  <si>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</si>
  <si>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</si>
  <si>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</si>
  <si>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</si>
  <si>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</si>
  <si>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</si>
  <si>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</si>
  <si>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</si>
  <si>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</si>
  <si>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</si>
  <si>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</si>
  <si>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</si>
  <si>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</si>
  <si>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</si>
  <si>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</si>
  <si>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</si>
  <si>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</si>
  <si>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</si>
  <si>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</si>
  <si>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</si>
  <si>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</si>
  <si>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</si>
  <si>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</si>
  <si>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</si>
  <si>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</si>
  <si>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</si>
  <si>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</si>
  <si>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</si>
  <si>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</si>
  <si>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</si>
  <si>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</si>
  <si>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</si>
  <si>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</si>
  <si>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</si>
  <si>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</si>
  <si>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</si>
  <si>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</si>
  <si>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</si>
  <si>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</si>
  <si>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</si>
  <si>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</si>
  <si>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</si>
  <si>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</si>
  <si>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</si>
  <si>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</si>
  <si>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</si>
  <si>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</si>
  <si>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</si>
  <si>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</si>
  <si>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</si>
  <si>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</si>
  <si>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</si>
  <si>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</si>
  <si>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</si>
  <si>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</si>
  <si>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</si>
  <si>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</si>
  <si>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</si>
  <si>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</si>
  <si>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</si>
  <si>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</si>
  <si>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</si>
  <si>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</si>
  <si>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</si>
  <si>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</si>
  <si>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</si>
  <si>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</si>
  <si>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</si>
  <si>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</si>
  <si>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</si>
  <si>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</si>
  <si>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</si>
  <si>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</si>
  <si>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</si>
  <si>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</si>
  <si>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</si>
  <si>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</si>
  <si>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</si>
  <si>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</si>
  <si>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</si>
  <si>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</si>
  <si>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</si>
  <si>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</si>
  <si>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</si>
  <si>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</si>
  <si>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</si>
  <si>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</si>
  <si>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</si>
  <si>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</si>
  <si>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</si>
  <si>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</si>
  <si>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</si>
  <si>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</si>
  <si>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</si>
  <si>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</si>
  <si>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</si>
  <si>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</si>
  <si>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</si>
  <si>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</si>
  <si>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</si>
  <si>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</si>
  <si>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</si>
  <si>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</si>
  <si>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</si>
  <si>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</si>
  <si>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</si>
  <si>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</si>
  <si>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</si>
  <si>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</si>
  <si>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</si>
  <si>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</si>
  <si>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</si>
  <si>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</si>
  <si>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</si>
  <si>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</si>
  <si>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</si>
  <si>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</si>
  <si>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</si>
  <si>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</si>
  <si>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</si>
  <si>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</si>
  <si>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</si>
  <si>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</si>
  <si>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</si>
  <si>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</si>
  <si>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</si>
  <si>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</si>
  <si>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</si>
  <si>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</si>
  <si>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</si>
  <si>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</si>
  <si>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</si>
  <si>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</si>
  <si>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</si>
  <si>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</si>
  <si>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</si>
  <si>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</si>
  <si>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</si>
  <si>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</si>
  <si>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</si>
  <si>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</si>
  <si>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</si>
  <si>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</si>
  <si>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</si>
  <si>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</si>
  <si>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</si>
  <si>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</si>
  <si>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</si>
  <si>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</si>
  <si>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</si>
  <si>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</si>
  <si>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</si>
  <si>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</si>
  <si>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</si>
  <si>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</si>
  <si>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</si>
  <si>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</si>
  <si>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</si>
  <si>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</si>
  <si>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</si>
  <si>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</si>
  <si>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</si>
  <si>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</si>
  <si>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</si>
  <si>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</si>
  <si>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</si>
  <si>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</si>
  <si>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</si>
  <si>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</si>
  <si>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</si>
  <si>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</si>
  <si>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</si>
  <si>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</si>
  <si>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</si>
  <si>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</si>
  <si>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</si>
  <si>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</si>
  <si>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</si>
  <si>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</si>
  <si>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</si>
  <si>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</si>
  <si>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</si>
  <si>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</si>
  <si>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</si>
  <si>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</si>
  <si>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</si>
  <si>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</si>
  <si>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</si>
  <si>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</si>
  <si>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</si>
  <si>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</si>
  <si>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</si>
  <si>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</si>
  <si>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</si>
  <si>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</si>
  <si>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</si>
  <si>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</si>
  <si>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</si>
  <si>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</si>
  <si>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</si>
  <si>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</si>
  <si>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</si>
  <si>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</si>
  <si>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</si>
  <si>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</si>
  <si>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</si>
  <si>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</si>
  <si>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</si>
  <si>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</si>
  <si>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</si>
  <si>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</si>
  <si>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</si>
  <si>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</si>
  <si>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</si>
  <si>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</si>
  <si>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</si>
  <si>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</si>
  <si>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</si>
  <si>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</si>
  <si>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</si>
  <si>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</si>
  <si>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</si>
  <si>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</si>
  <si>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</si>
  <si>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</si>
  <si>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</si>
  <si>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</si>
  <si>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</si>
  <si>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</si>
  <si>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</si>
  <si>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</si>
  <si>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</si>
  <si>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</si>
  <si>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</si>
  <si>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</si>
  <si>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</si>
  <si>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</si>
  <si>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</si>
  <si>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</si>
  <si>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</si>
  <si>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</si>
  <si>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</si>
  <si>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</si>
  <si>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</si>
  <si>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</si>
  <si>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</si>
  <si>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</si>
  <si>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</si>
  <si>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</si>
  <si>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</si>
  <si>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</si>
  <si>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</si>
  <si>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</si>
  <si>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</si>
  <si>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</si>
  <si>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</si>
  <si>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</si>
  <si>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</si>
  <si>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</si>
  <si>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</si>
  <si>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</si>
  <si>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</si>
  <si>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</si>
  <si>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</si>
  <si>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</si>
  <si>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</si>
  <si>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</si>
  <si>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</si>
  <si>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</si>
  <si>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</si>
  <si>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</si>
  <si>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</si>
  <si>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</si>
  <si>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</si>
  <si>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</si>
  <si>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</si>
  <si>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</si>
  <si>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</si>
  <si>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</si>
  <si>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</si>
  <si>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</si>
  <si>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</si>
  <si>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</si>
  <si>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</si>
  <si>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</si>
  <si>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</si>
  <si>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</si>
  <si>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</si>
  <si>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</si>
  <si>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</si>
  <si>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</si>
  <si>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</si>
  <si>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</si>
  <si>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</si>
  <si>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</si>
  <si>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</si>
  <si>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</si>
  <si>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</si>
  <si>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</si>
  <si>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</si>
  <si>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</si>
  <si>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</si>
  <si>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</si>
  <si>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</si>
  <si>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</si>
  <si>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</si>
  <si>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</si>
  <si>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</si>
  <si>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</si>
  <si>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</si>
  <si>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</si>
  <si>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</si>
  <si>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</si>
  <si>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</si>
  <si>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</si>
  <si>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</si>
  <si>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</si>
  <si>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</si>
  <si>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</si>
  <si>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</si>
  <si>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</si>
  <si>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</si>
  <si>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</si>
  <si>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</si>
  <si>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</si>
  <si>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</si>
  <si>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</si>
  <si>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</si>
  <si>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</si>
  <si>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</si>
  <si>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</si>
  <si>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</si>
  <si>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</si>
  <si>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</si>
  <si>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</si>
  <si>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</si>
  <si>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</si>
  <si>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</si>
  <si>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</si>
  <si>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</si>
  <si>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</si>
  <si>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</si>
  <si>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</si>
  <si>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</si>
  <si>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</si>
  <si>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</si>
  <si>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</si>
  <si>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</si>
  <si>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</si>
  <si>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</si>
  <si>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</si>
  <si>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</si>
  <si>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</si>
  <si>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</si>
  <si>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</si>
  <si>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</si>
  <si>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</si>
  <si>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</si>
  <si>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</si>
  <si>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</si>
  <si>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</si>
  <si>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</si>
  <si>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</si>
  <si>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</si>
  <si>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</si>
  <si>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</si>
  <si>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</si>
  <si>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</si>
  <si>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</si>
  <si>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</si>
  <si>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</si>
  <si>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</si>
  <si>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</si>
  <si>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</si>
  <si>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</si>
  <si>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</si>
  <si>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</si>
  <si>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</si>
  <si>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</si>
  <si>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</si>
  <si>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</si>
  <si>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</si>
  <si>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</si>
  <si>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</si>
  <si>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</si>
  <si>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</si>
  <si>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</si>
  <si>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</si>
  <si>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</si>
  <si>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</si>
  <si>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</si>
  <si>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</si>
  <si>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</si>
  <si>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</si>
  <si>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</si>
  <si>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</si>
  <si>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</si>
  <si>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</si>
  <si>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</si>
  <si>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</si>
  <si>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</si>
  <si>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</si>
  <si>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</si>
  <si>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</si>
  <si>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</si>
  <si>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</si>
  <si>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</si>
  <si>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</si>
  <si>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</si>
  <si>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</si>
  <si>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</si>
  <si>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</si>
  <si>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</si>
  <si>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</si>
  <si>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</si>
  <si>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</si>
  <si>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</si>
  <si>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</si>
  <si>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</si>
  <si>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</si>
  <si>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</si>
  <si>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</si>
  <si>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</si>
  <si>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</si>
  <si>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</si>
  <si>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</si>
  <si>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</si>
  <si>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</si>
  <si>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</si>
  <si>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</si>
  <si>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</si>
  <si>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</si>
  <si>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</si>
  <si>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</si>
  <si>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</si>
  <si>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</si>
  <si>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</si>
  <si>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</si>
  <si>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</si>
  <si>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</si>
  <si>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</si>
  <si>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</si>
  <si>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</si>
  <si>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</si>
  <si>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</si>
  <si>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</si>
  <si>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</si>
  <si>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</si>
  <si>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</si>
  <si>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</si>
  <si>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</si>
  <si>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</si>
  <si>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</si>
  <si>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</si>
  <si>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</si>
  <si>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</si>
  <si>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</si>
  <si>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</si>
  <si>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</si>
  <si>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</si>
  <si>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</si>
  <si>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</si>
  <si>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</si>
  <si>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</si>
  <si>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</si>
  <si>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</si>
  <si>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</si>
  <si>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</si>
  <si>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</si>
  <si>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</si>
  <si>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</si>
  <si>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</si>
  <si>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</si>
  <si>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</si>
  <si>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</si>
  <si>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</si>
  <si>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</si>
  <si>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</si>
  <si>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</si>
  <si>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</si>
  <si>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</si>
  <si>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</si>
  <si>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</si>
  <si>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</si>
  <si>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</si>
  <si>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</si>
  <si>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</si>
  <si>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</si>
  <si>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</si>
  <si>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</si>
  <si>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</si>
  <si>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</si>
  <si>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</si>
  <si>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</si>
  <si>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</si>
  <si>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</si>
  <si>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</si>
  <si>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</si>
  <si>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</si>
  <si>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</si>
  <si>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</si>
  <si>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</si>
  <si>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</si>
  <si>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</si>
  <si>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</si>
  <si>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</si>
  <si>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</si>
  <si>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</si>
  <si>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</si>
  <si>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</si>
  <si>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</si>
  <si>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</si>
  <si>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</si>
  <si>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</si>
  <si>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</si>
  <si>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</si>
  <si>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</si>
  <si>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</si>
  <si>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</si>
  <si>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</si>
  <si>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</si>
  <si>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</si>
  <si>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</si>
  <si>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</si>
  <si>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</si>
  <si>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</si>
  <si>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</si>
  <si>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</si>
  <si>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</si>
  <si>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</si>
  <si>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</si>
  <si>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</si>
  <si>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</si>
  <si>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</si>
  <si>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</si>
  <si>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</si>
  <si>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</si>
  <si>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</si>
  <si>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</si>
  <si>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</si>
  <si>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</si>
  <si>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</si>
  <si>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</si>
  <si>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</si>
  <si>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</si>
  <si>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</si>
  <si>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</si>
  <si>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</si>
  <si>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</si>
  <si>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</si>
  <si>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</si>
  <si>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</si>
  <si>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</si>
  <si>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</si>
  <si>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</si>
  <si>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</si>
  <si>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</si>
  <si>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</si>
  <si>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</si>
  <si>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</si>
  <si>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</si>
  <si>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</si>
  <si>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</si>
  <si>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</si>
  <si>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</si>
  <si>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</si>
  <si>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</si>
  <si>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</si>
  <si>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</si>
  <si>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</si>
  <si>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</si>
  <si>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</si>
  <si>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</si>
  <si>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</si>
  <si>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</si>
  <si>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</si>
  <si>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</si>
  <si>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</si>
  <si>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</si>
  <si>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</si>
  <si>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</si>
  <si>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</si>
  <si>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</si>
  <si>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</si>
  <si>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</si>
  <si>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</si>
  <si>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</si>
  <si>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</si>
  <si>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</si>
  <si>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</si>
  <si>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</si>
  <si>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</si>
  <si>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</si>
  <si>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</si>
  <si>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</si>
  <si>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</si>
  <si>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</si>
  <si>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</si>
  <si>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</si>
  <si>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</si>
  <si>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</si>
  <si>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</si>
  <si>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</si>
  <si>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</si>
  <si>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</si>
  <si>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</si>
  <si>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</si>
  <si>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</si>
  <si>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</si>
  <si>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</si>
  <si>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</si>
  <si>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</si>
  <si>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</si>
  <si>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</si>
  <si>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</si>
  <si>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</si>
  <si>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</si>
  <si>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</si>
  <si>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</si>
  <si>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</si>
  <si>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</si>
  <si>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</si>
  <si>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</si>
  <si>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</si>
  <si>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</si>
  <si>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</si>
  <si>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</si>
  <si>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</si>
  <si>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</si>
  <si>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</si>
  <si>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</si>
  <si>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</si>
  <si>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</si>
  <si>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</si>
  <si>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</si>
  <si>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</si>
  <si>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</si>
  <si>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</si>
  <si>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</si>
  <si>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</si>
  <si>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</si>
  <si>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</si>
  <si>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</si>
  <si>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</si>
  <si>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</si>
  <si>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</si>
  <si>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</si>
  <si>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</si>
  <si>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</si>
  <si>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</si>
  <si>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</si>
  <si>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</si>
  <si>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</si>
  <si>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</si>
  <si>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</si>
  <si>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</si>
  <si>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</si>
  <si>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</si>
  <si>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</si>
  <si>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</si>
  <si>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</si>
  <si>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</si>
  <si>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</si>
  <si>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</si>
  <si>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</si>
  <si>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</si>
  <si>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</si>
  <si>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</si>
  <si>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</si>
  <si>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</si>
  <si>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</si>
  <si>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</si>
  <si>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</si>
  <si>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</si>
  <si>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</si>
  <si>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</si>
  <si>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</si>
  <si>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</si>
  <si>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</si>
  <si>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</si>
  <si>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</si>
  <si>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</si>
  <si>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</si>
  <si>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</si>
  <si>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</si>
  <si>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</si>
  <si>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</si>
  <si>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</si>
  <si>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</si>
  <si>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</si>
  <si>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</si>
  <si>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</si>
  <si>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</si>
  <si>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</si>
  <si>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</si>
  <si>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</si>
  <si>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</si>
  <si>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</si>
  <si>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</si>
  <si>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</si>
  <si>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</si>
  <si>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</si>
  <si>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</si>
  <si>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</si>
  <si>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</si>
  <si>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</si>
  <si>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</si>
  <si>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</si>
  <si>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</si>
  <si>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</si>
  <si>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</si>
  <si>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</si>
  <si>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</si>
  <si>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</si>
  <si>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</si>
  <si>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</si>
  <si>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</si>
  <si>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</si>
  <si>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</si>
  <si>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</si>
  <si>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</si>
  <si>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</si>
  <si>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</si>
  <si>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</si>
  <si>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</si>
  <si>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</si>
  <si>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</si>
  <si>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</si>
  <si>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</si>
  <si>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</si>
  <si>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</si>
  <si>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</si>
  <si>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</si>
  <si>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</si>
  <si>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</si>
  <si>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</si>
  <si>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</si>
  <si>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</si>
  <si>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</si>
  <si>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</si>
  <si>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</si>
  <si>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</si>
  <si>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</si>
  <si>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</si>
  <si>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</si>
  <si>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</si>
  <si>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</si>
  <si>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</si>
  <si>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</si>
  <si>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</si>
  <si>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</si>
  <si>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</si>
  <si>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</si>
  <si>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</si>
  <si>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</si>
  <si>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</si>
  <si>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</si>
  <si>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</si>
  <si>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</si>
  <si>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</si>
  <si>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</si>
  <si>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</si>
  <si>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</si>
  <si>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</si>
  <si>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</si>
  <si>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</si>
  <si>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</si>
  <si>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</si>
  <si>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</si>
  <si>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</si>
  <si>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</si>
  <si>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</si>
  <si>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</si>
  <si>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</si>
  <si>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</si>
  <si>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</si>
  <si>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</si>
  <si>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</si>
  <si>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</si>
  <si>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</si>
  <si>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</si>
  <si>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</si>
  <si>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</si>
  <si>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</si>
  <si>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</si>
  <si>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</si>
  <si>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</si>
  <si>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</si>
  <si>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</si>
  <si>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</si>
  <si>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</si>
  <si>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</si>
  <si>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</si>
  <si>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</si>
  <si>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</si>
  <si>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</si>
  <si>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</si>
  <si>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</si>
  <si>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</si>
  <si>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</si>
  <si>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</si>
  <si>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</si>
  <si>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</si>
  <si>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</si>
  <si>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</si>
  <si>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</si>
  <si>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</si>
  <si>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</si>
  <si>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</si>
  <si>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</si>
  <si>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</si>
  <si>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</si>
  <si>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</si>
  <si>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</si>
  <si>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</si>
  <si>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</si>
  <si>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</si>
  <si>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</si>
  <si>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</si>
  <si>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</si>
  <si>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</si>
  <si>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</si>
  <si>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</si>
  <si>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</si>
  <si>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</si>
  <si>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</si>
  <si>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</si>
  <si>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</si>
  <si>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</si>
  <si>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</si>
  <si>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</si>
  <si>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</si>
  <si>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</si>
  <si>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</si>
  <si>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</si>
  <si>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</si>
  <si>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</si>
  <si>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</si>
  <si>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</si>
  <si>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</si>
  <si>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</si>
  <si>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</si>
  <si>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</si>
  <si>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</si>
  <si>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</si>
  <si>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</si>
  <si>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</si>
  <si>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</si>
  <si>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</si>
  <si>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</si>
  <si>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</si>
  <si>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</si>
  <si>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</si>
  <si>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</si>
  <si>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</si>
  <si>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</si>
  <si>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</si>
  <si>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</si>
  <si>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</si>
  <si>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</si>
  <si>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</si>
  <si>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</si>
  <si>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</si>
  <si>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</si>
  <si>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</si>
  <si>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</si>
  <si>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</si>
  <si>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</si>
  <si>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</si>
  <si>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</si>
  <si>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</si>
  <si>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</si>
  <si>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</si>
  <si>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</si>
  <si>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</si>
  <si>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</si>
  <si>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</si>
  <si>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</si>
  <si>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</si>
  <si>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</si>
  <si>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</si>
  <si>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</si>
  <si>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</si>
  <si>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</si>
  <si>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</si>
  <si>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</si>
  <si>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</si>
  <si>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</si>
  <si>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</si>
  <si>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</si>
  <si>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</si>
  <si>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</si>
  <si>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</si>
  <si>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</si>
  <si>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</si>
  <si>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</si>
  <si>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</si>
  <si>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</si>
  <si>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</si>
  <si>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</si>
  <si>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</si>
  <si>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</si>
  <si>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</si>
  <si>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</si>
  <si>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</si>
  <si>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</si>
  <si>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</si>
  <si>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</si>
  <si>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</si>
  <si>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</si>
  <si>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</si>
  <si>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</si>
  <si>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</si>
  <si>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</si>
  <si>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</si>
  <si>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</si>
  <si>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</si>
  <si>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</si>
  <si>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</si>
  <si>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</si>
  <si>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</si>
  <si>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</si>
  <si>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</si>
  <si>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</si>
  <si>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</si>
  <si>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</si>
  <si>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</si>
  <si>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</si>
  <si>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</si>
  <si>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</si>
  <si>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</si>
  <si>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</si>
  <si>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</si>
  <si>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</si>
  <si>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</si>
  <si>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</si>
  <si>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</si>
  <si>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</si>
  <si>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</si>
  <si>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</si>
  <si>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</si>
  <si>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</si>
  <si>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</si>
  <si>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</si>
  <si>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</si>
  <si>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</si>
  <si>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</si>
  <si>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</si>
  <si>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</si>
  <si>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</si>
  <si>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</si>
  <si>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</si>
  <si>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</si>
  <si>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</si>
  <si>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</si>
  <si>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</si>
  <si>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</si>
  <si>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</si>
  <si>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</si>
  <si>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</si>
  <si>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</si>
  <si>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</si>
  <si>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</si>
  <si>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</si>
  <si>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</si>
  <si>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</si>
  <si>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</si>
  <si>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</si>
  <si>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</si>
  <si>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</si>
  <si>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</si>
  <si>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</si>
  <si>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</si>
  <si>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</si>
  <si>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</si>
  <si>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</si>
  <si>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</si>
  <si>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</si>
  <si>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</si>
  <si>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</si>
  <si>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</si>
  <si>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</si>
  <si>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</si>
  <si>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</si>
  <si>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</si>
  <si>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</si>
  <si>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</si>
  <si>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</si>
  <si>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</si>
  <si>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</si>
  <si>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</si>
  <si>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</si>
  <si>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</si>
  <si>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</si>
  <si>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</si>
  <si>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</si>
  <si>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</si>
  <si>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</si>
  <si>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</si>
  <si>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</si>
  <si>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</si>
  <si>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</si>
  <si>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</si>
  <si>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</si>
  <si>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</si>
  <si>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</si>
  <si>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</si>
  <si>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</si>
  <si>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</si>
  <si>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</si>
  <si>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</si>
  <si>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</si>
  <si>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</si>
  <si>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</si>
  <si>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</si>
  <si>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</si>
  <si>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</si>
  <si>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</si>
  <si>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</si>
  <si>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</si>
  <si>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</si>
  <si>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</si>
  <si>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</si>
  <si>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</si>
  <si>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</si>
  <si>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</si>
  <si>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</si>
  <si>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</si>
  <si>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</si>
  <si>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</si>
  <si>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</si>
  <si>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</si>
  <si>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</si>
  <si>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</si>
  <si>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</si>
  <si>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</si>
  <si>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</si>
  <si>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</si>
  <si>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</si>
  <si>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</si>
  <si>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</si>
  <si>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</si>
  <si>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</si>
  <si>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</si>
  <si>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</si>
  <si>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</si>
  <si>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</si>
  <si>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</si>
  <si>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</si>
  <si>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</si>
  <si>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</si>
  <si>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</si>
  <si>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</si>
  <si>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</si>
  <si>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</si>
  <si>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</si>
  <si>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</si>
  <si>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</si>
  <si>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</si>
  <si>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</si>
  <si>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</si>
  <si>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</si>
  <si>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</si>
  <si>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</si>
  <si>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</si>
  <si>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</si>
  <si>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</si>
  <si>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</si>
  <si>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</si>
  <si>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</si>
  <si>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</si>
  <si>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</si>
  <si>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</si>
  <si>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</si>
  <si>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</si>
  <si>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</si>
  <si>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</si>
  <si>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</si>
  <si>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</si>
  <si>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</si>
  <si>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</si>
  <si>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</si>
  <si>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</si>
  <si>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</si>
  <si>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</si>
  <si>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</si>
  <si>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</si>
  <si>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</si>
  <si>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</si>
  <si>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</si>
  <si>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</si>
  <si>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</si>
  <si>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</si>
  <si>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</si>
  <si>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</si>
  <si>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</si>
  <si>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</si>
  <si>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</si>
  <si>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</si>
  <si>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</si>
  <si>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</si>
  <si>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</si>
  <si>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</si>
  <si>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</si>
  <si>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</si>
  <si>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</si>
  <si>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</si>
  <si>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</si>
  <si>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</si>
  <si>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</si>
  <si>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</si>
  <si>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</si>
  <si>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</si>
  <si>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</si>
  <si>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</si>
  <si>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</si>
  <si>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</si>
  <si>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</si>
  <si>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</si>
  <si>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</si>
  <si>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</si>
  <si>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</si>
  <si>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</si>
  <si>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</si>
  <si>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</si>
  <si>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</si>
  <si>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</si>
  <si>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</si>
  <si>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</si>
  <si>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</si>
  <si>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</si>
  <si>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</si>
  <si>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</si>
  <si>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</si>
  <si>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</si>
  <si>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</si>
  <si>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</si>
  <si>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</si>
  <si>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</si>
  <si>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</si>
  <si>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</si>
  <si>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</si>
  <si>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</si>
  <si>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</si>
  <si>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</si>
  <si>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</si>
  <si>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</si>
  <si>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</si>
  <si>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</si>
  <si>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</si>
  <si>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</si>
  <si>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</si>
  <si>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</si>
  <si>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</si>
  <si>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</si>
  <si>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</si>
  <si>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</si>
  <si>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</si>
  <si>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</si>
  <si>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</si>
  <si>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</si>
  <si>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</si>
  <si>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</si>
  <si>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</si>
  <si>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</si>
  <si>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</si>
  <si>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</si>
  <si>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</si>
  <si>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</si>
  <si>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</si>
  <si>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</si>
  <si>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</si>
  <si>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</si>
  <si>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</si>
  <si>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</si>
  <si>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</si>
  <si>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</si>
  <si>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</si>
  <si>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</si>
  <si>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</si>
  <si>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</si>
  <si>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</si>
  <si>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</si>
  <si>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</si>
  <si>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</si>
  <si>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</si>
  <si>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</si>
  <si>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</si>
  <si>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</si>
  <si>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</si>
  <si>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</si>
  <si>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</si>
  <si>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</si>
  <si>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</si>
  <si>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</si>
  <si>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</si>
  <si>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</si>
  <si>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</si>
  <si>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</si>
  <si>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</si>
  <si>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</si>
  <si>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</si>
  <si>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</si>
  <si>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</si>
  <si>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</si>
  <si>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</si>
  <si>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</si>
  <si>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</si>
  <si>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</si>
  <si>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</si>
  <si>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</si>
  <si>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</si>
  <si>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</si>
  <si>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</si>
  <si>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</si>
  <si>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</si>
  <si>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</si>
  <si>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</si>
  <si>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</si>
  <si>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</si>
  <si>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</si>
  <si>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</si>
  <si>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</si>
  <si>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</si>
  <si>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</si>
  <si>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</si>
  <si>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</si>
  <si>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</si>
  <si>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</si>
  <si>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</si>
  <si>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</si>
  <si>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</si>
  <si>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</si>
  <si>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</si>
  <si>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</si>
  <si>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</si>
  <si>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</si>
  <si>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</si>
  <si>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</si>
  <si>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</si>
  <si>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</si>
  <si>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</si>
  <si>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</si>
  <si>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</si>
  <si>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</si>
  <si>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</si>
  <si>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</si>
  <si>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</si>
  <si>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</si>
  <si>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</si>
  <si>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</si>
  <si>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</si>
  <si>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</si>
  <si>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</si>
  <si>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</si>
  <si>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</si>
  <si>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</si>
  <si>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</si>
  <si>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</si>
  <si>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</si>
  <si>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</si>
  <si>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</si>
  <si>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</si>
  <si>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</si>
  <si>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</si>
  <si>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</si>
  <si>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</si>
  <si>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</si>
  <si>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</si>
  <si>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</si>
  <si>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</si>
  <si>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</si>
  <si>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</si>
  <si>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</si>
  <si>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</si>
  <si>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</si>
  <si>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</si>
  <si>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</si>
  <si>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</si>
  <si>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</si>
  <si>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</si>
  <si>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</si>
  <si>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</si>
  <si>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</si>
  <si>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</si>
  <si>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</si>
  <si>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</si>
  <si>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</si>
  <si>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</si>
  <si>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</si>
  <si>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</si>
  <si>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</si>
  <si>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</si>
  <si>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</si>
  <si>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</si>
  <si>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</si>
  <si>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</si>
  <si>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</si>
  <si>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</si>
  <si>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</si>
  <si>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</si>
  <si>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</si>
  <si>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</si>
  <si>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</si>
  <si>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</si>
  <si>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</si>
  <si>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</si>
  <si>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</si>
  <si>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</si>
  <si>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</si>
  <si>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</si>
  <si>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</si>
  <si>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</si>
  <si>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</si>
  <si>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</si>
  <si>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</si>
  <si>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</si>
  <si>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</si>
  <si>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</si>
  <si>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</si>
  <si>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</si>
  <si>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</si>
  <si>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</si>
  <si>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</si>
  <si>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</si>
  <si>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</si>
  <si>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</si>
  <si>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</si>
  <si>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</si>
  <si>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</si>
  <si>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</si>
  <si>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</si>
  <si>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</si>
  <si>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</si>
  <si>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</si>
  <si>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</si>
  <si>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</si>
  <si>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</si>
  <si>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</si>
  <si>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</si>
  <si>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</si>
  <si>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</si>
  <si>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</si>
  <si>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</si>
  <si>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</si>
  <si>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</si>
  <si>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</si>
  <si>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</si>
  <si>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</si>
  <si>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</si>
  <si>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</si>
  <si>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</si>
  <si>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</si>
  <si>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</si>
  <si>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</si>
  <si>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</si>
  <si>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</si>
  <si>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</si>
  <si>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</si>
  <si>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</si>
  <si>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</si>
  <si>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</si>
  <si>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</si>
  <si>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</si>
  <si>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</si>
  <si>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</si>
  <si>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</si>
  <si>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</si>
  <si>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</si>
  <si>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</si>
  <si>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</si>
  <si>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</si>
  <si>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</si>
  <si>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</si>
  <si>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</si>
  <si>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</si>
  <si>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</si>
  <si>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</si>
  <si>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</si>
  <si>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</si>
  <si>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</si>
  <si>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</si>
  <si>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</si>
  <si>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</si>
  <si>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</si>
  <si>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</si>
  <si>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</si>
  <si>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</si>
  <si>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</si>
  <si>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</si>
  <si>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</si>
  <si>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</si>
  <si>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</si>
  <si>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</si>
  <si>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</si>
  <si>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</si>
  <si>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</si>
  <si>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</si>
  <si>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</si>
  <si>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</si>
  <si>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</si>
  <si>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</si>
  <si>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</si>
  <si>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</si>
  <si>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</si>
  <si>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</si>
  <si>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</si>
  <si>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</si>
  <si>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</si>
  <si>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</si>
  <si>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</si>
  <si>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</si>
  <si>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</si>
  <si>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</si>
  <si>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</si>
  <si>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</si>
  <si>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</si>
  <si>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</si>
  <si>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</si>
  <si>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</si>
  <si>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</si>
  <si>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</si>
  <si>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</si>
  <si>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</si>
  <si>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</si>
  <si>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</si>
  <si>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</si>
  <si>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</si>
  <si>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</si>
  <si>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</si>
  <si>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</si>
  <si>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</si>
  <si>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</si>
  <si>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</si>
  <si>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</si>
  <si>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</si>
  <si>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</si>
  <si>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</si>
  <si>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</si>
  <si>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</si>
  <si>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</si>
  <si>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</si>
  <si>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</si>
  <si>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</si>
  <si>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</si>
  <si>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</si>
  <si>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</si>
  <si>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</si>
  <si>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</si>
  <si>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</si>
  <si>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</si>
  <si>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</si>
  <si>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</si>
  <si>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</si>
  <si>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</si>
  <si>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</si>
  <si>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</si>
  <si>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</si>
  <si>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</si>
  <si>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</si>
  <si>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</si>
  <si>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</si>
  <si>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</si>
  <si>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</si>
  <si>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</si>
  <si>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</si>
  <si>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</si>
  <si>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</si>
  <si>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</si>
  <si>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</si>
  <si>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</si>
  <si>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</si>
  <si>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</si>
  <si>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</si>
  <si>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</si>
  <si>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</si>
  <si>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</si>
  <si>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</si>
  <si>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</si>
  <si>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</si>
  <si>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</si>
  <si>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</si>
  <si>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</si>
  <si>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</si>
  <si>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</si>
  <si>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</si>
  <si>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</si>
  <si>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</si>
  <si>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</si>
  <si>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</si>
  <si>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</si>
  <si>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</si>
  <si>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</si>
  <si>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</si>
  <si>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</si>
  <si>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</si>
  <si>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</si>
  <si>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</si>
  <si>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</si>
  <si>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</si>
  <si>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</si>
  <si>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</si>
  <si>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</si>
  <si>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</si>
  <si>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</si>
  <si>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</si>
  <si>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</si>
  <si>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</si>
  <si>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</si>
  <si>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</si>
  <si>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</si>
  <si>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</si>
  <si>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</si>
  <si>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</si>
  <si>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</si>
  <si>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</si>
  <si>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</si>
  <si>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</si>
  <si>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</si>
  <si>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</si>
  <si>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</si>
  <si>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</si>
  <si>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</si>
  <si>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</si>
  <si>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</si>
  <si>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</si>
  <si>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</si>
  <si>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</si>
  <si>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</si>
  <si>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</si>
  <si>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</si>
  <si>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</si>
  <si>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</si>
  <si>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</si>
  <si>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</si>
  <si>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</si>
  <si>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</si>
  <si>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</si>
  <si>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</si>
  <si>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</si>
  <si>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</si>
  <si>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</si>
  <si>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</si>
  <si>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</si>
  <si>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</si>
  <si>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</si>
  <si>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</si>
  <si>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</si>
  <si>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</si>
  <si>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</si>
  <si>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</si>
  <si>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</si>
  <si>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</si>
  <si>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</si>
  <si>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</si>
  <si>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</si>
  <si>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</si>
  <si>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</si>
  <si>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</si>
  <si>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</si>
  <si>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</si>
  <si>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</si>
  <si>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</si>
  <si>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</si>
  <si>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</si>
  <si>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</si>
  <si>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</si>
  <si>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</si>
  <si>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</si>
  <si>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</si>
  <si>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</si>
  <si>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</si>
  <si>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</si>
  <si>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</si>
  <si>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</si>
  <si>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</si>
  <si>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</si>
  <si>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</si>
  <si>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</si>
  <si>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</si>
  <si>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</si>
  <si>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</si>
  <si>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</si>
  <si>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</si>
  <si>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</si>
  <si>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</si>
  <si>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</si>
  <si>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</si>
  <si>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</si>
  <si>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</si>
  <si>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</si>
  <si>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</si>
  <si>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</si>
  <si>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</si>
  <si>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</si>
  <si>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</si>
  <si>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</si>
  <si>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</si>
  <si>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</si>
  <si>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</si>
  <si>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</si>
  <si>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</si>
  <si>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</si>
  <si>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</si>
  <si>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</si>
  <si>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</si>
  <si>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</si>
  <si>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</si>
  <si>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</si>
  <si>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</si>
  <si>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</si>
  <si>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</si>
  <si>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</si>
  <si>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</si>
  <si>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</si>
  <si>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</si>
  <si>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</si>
  <si>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</si>
  <si>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</si>
  <si>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</si>
  <si>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</si>
  <si>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</si>
  <si>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</si>
  <si>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</si>
  <si>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</si>
  <si>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</si>
  <si>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</si>
  <si>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</si>
  <si>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</si>
  <si>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</si>
  <si>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</si>
  <si>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</si>
  <si>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</si>
  <si>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</si>
  <si>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</si>
  <si>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</si>
  <si>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</si>
  <si>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</si>
  <si>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</si>
  <si>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</si>
  <si>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</si>
  <si>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</si>
  <si>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</si>
  <si>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</si>
  <si>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</si>
  <si>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</si>
  <si>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</si>
  <si>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</si>
  <si>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</si>
  <si>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</si>
  <si>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</si>
  <si>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</si>
  <si>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</si>
  <si>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</si>
  <si>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</si>
  <si>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</si>
  <si>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</si>
  <si>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</si>
  <si>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</si>
  <si>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</si>
  <si>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</si>
  <si>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</si>
  <si>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</si>
  <si>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</si>
  <si>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</si>
  <si>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</si>
  <si>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</si>
  <si>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</si>
  <si>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</si>
  <si>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</si>
  <si>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</si>
  <si>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</si>
  <si>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</si>
  <si>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</si>
  <si>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</si>
  <si>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</si>
  <si>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</si>
  <si>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</si>
  <si>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</si>
  <si>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</si>
  <si>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</si>
  <si>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</si>
  <si>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</si>
  <si>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</si>
  <si>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</si>
  <si>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</si>
  <si>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</si>
  <si>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</si>
  <si>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</si>
  <si>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</si>
  <si>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</si>
  <si>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</si>
  <si>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</si>
  <si>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</si>
  <si>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</si>
  <si>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</si>
  <si>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</si>
  <si>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</si>
  <si>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</si>
  <si>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</si>
  <si>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</si>
  <si>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</si>
  <si>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</si>
  <si>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</si>
  <si>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</si>
  <si>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</si>
  <si>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</si>
  <si>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</si>
  <si>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</si>
  <si>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</si>
  <si>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</si>
  <si>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</si>
  <si>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</si>
  <si>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</si>
  <si>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</si>
  <si>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</si>
  <si>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</si>
  <si>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</si>
  <si>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</si>
  <si>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</si>
  <si>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</si>
  <si>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</si>
  <si>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</si>
  <si>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</si>
  <si>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</si>
  <si>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</si>
  <si>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</si>
  <si>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</si>
  <si>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</si>
  <si>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</si>
  <si>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</si>
  <si>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</si>
  <si>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</si>
  <si>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</si>
  <si>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</si>
  <si>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</si>
  <si>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</si>
  <si>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</si>
  <si>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</si>
  <si>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</si>
  <si>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</si>
  <si>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</si>
  <si>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</si>
  <si>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</si>
  <si>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</si>
  <si>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</si>
  <si>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</si>
  <si>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</si>
  <si>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</si>
  <si>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</si>
  <si>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</si>
  <si>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</si>
  <si>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</si>
  <si>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</si>
  <si>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</si>
  <si>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</si>
  <si>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</si>
  <si>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</si>
  <si>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</si>
  <si>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</si>
  <si>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</si>
  <si>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</si>
  <si>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</si>
  <si>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</si>
  <si>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</si>
  <si>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</si>
  <si>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</si>
  <si>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</si>
  <si>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</si>
  <si>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</si>
  <si>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</si>
  <si>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</si>
  <si>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</si>
  <si>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</si>
  <si>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</si>
  <si>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</si>
  <si>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</si>
  <si>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</si>
  <si>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</si>
  <si>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</si>
  <si>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</si>
  <si>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</si>
  <si>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</si>
  <si>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</si>
  <si>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</si>
  <si>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</si>
  <si>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</si>
  <si>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</si>
  <si>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</si>
  <si>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</si>
  <si>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</si>
  <si>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</si>
  <si>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</si>
  <si>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</si>
  <si>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</si>
  <si>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</si>
  <si>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</si>
  <si>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</si>
  <si>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</si>
  <si>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</si>
  <si>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</si>
  <si>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</si>
  <si>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</si>
  <si>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</si>
  <si>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</si>
  <si>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</si>
  <si>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</si>
  <si>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</si>
  <si>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</si>
  <si>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</si>
  <si>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</si>
  <si>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</si>
  <si>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</si>
  <si>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</si>
  <si>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</si>
  <si>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</si>
  <si>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</si>
  <si>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</si>
  <si>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</si>
  <si>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</si>
  <si>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</si>
  <si>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</si>
  <si>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</si>
  <si>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</si>
  <si>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</si>
  <si>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</si>
  <si>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</si>
  <si>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</si>
  <si>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</si>
  <si>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</si>
  <si>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</si>
  <si>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</si>
  <si>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</si>
  <si>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</si>
  <si>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</si>
  <si>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</si>
  <si>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</si>
  <si>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</si>
  <si>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</si>
  <si>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</si>
  <si>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</si>
  <si>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</si>
  <si>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</si>
  <si>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</si>
  <si>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</si>
  <si>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</si>
  <si>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</si>
  <si>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</si>
  <si>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</si>
  <si>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</si>
  <si>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</si>
  <si>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</si>
  <si>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</si>
  <si>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</si>
  <si>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</si>
  <si>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</si>
  <si>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</si>
  <si>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</si>
  <si>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</si>
  <si>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</si>
  <si>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</si>
  <si>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</si>
  <si>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</si>
  <si>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</si>
  <si>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</si>
  <si>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</si>
  <si>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</si>
  <si>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</si>
  <si>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</si>
  <si>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</si>
  <si>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</si>
  <si>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</si>
  <si>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</si>
  <si>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</si>
  <si>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</si>
  <si>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</si>
  <si>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</si>
  <si>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</si>
  <si>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</si>
  <si>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</si>
  <si>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</si>
  <si>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</si>
  <si>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</si>
  <si>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</si>
  <si>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</si>
  <si>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</si>
  <si>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</si>
  <si>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</si>
  <si>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</si>
  <si>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</si>
  <si>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</si>
  <si>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</si>
  <si>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</si>
  <si>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</si>
  <si>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</si>
  <si>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</si>
  <si>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</si>
  <si>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</si>
  <si>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</si>
  <si>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</si>
  <si>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</si>
  <si>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</si>
  <si>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</si>
  <si>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</si>
  <si>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</si>
  <si>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</si>
  <si>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</si>
  <si>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</si>
  <si>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</si>
  <si>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</si>
  <si>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</si>
  <si>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</si>
  <si>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</si>
  <si>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</si>
  <si>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</si>
  <si>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</si>
  <si>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</si>
  <si>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</si>
  <si>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</si>
  <si>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</si>
  <si>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</si>
  <si>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</si>
  <si>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</si>
  <si>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</si>
  <si>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</si>
  <si>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</si>
  <si>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</si>
  <si>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</si>
  <si>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</si>
  <si>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</si>
  <si>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</si>
  <si>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</si>
  <si>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</si>
  <si>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</si>
  <si>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</si>
  <si>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</si>
  <si>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</si>
  <si>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</si>
  <si>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</si>
  <si>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</si>
  <si>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</si>
  <si>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</si>
  <si>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</si>
  <si>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</si>
  <si>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</si>
  <si>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</si>
  <si>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</si>
  <si>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</si>
  <si>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</si>
  <si>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</si>
  <si>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</si>
  <si>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</si>
  <si>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</si>
  <si>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</si>
  <si>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</si>
  <si>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</si>
  <si>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</si>
  <si>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</si>
  <si>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</si>
  <si>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</si>
  <si>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</si>
  <si>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</si>
  <si>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</si>
  <si>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</si>
  <si>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</si>
  <si>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</si>
  <si>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</si>
  <si>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</si>
  <si>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</si>
  <si>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</si>
  <si>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</si>
  <si>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</si>
  <si>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</si>
  <si>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</si>
  <si>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</si>
  <si>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</si>
  <si>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</si>
  <si>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</si>
  <si>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</si>
  <si>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</si>
  <si>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</si>
  <si>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</si>
  <si>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</si>
  <si>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</si>
  <si>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</si>
  <si>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</si>
  <si>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</si>
  <si>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</si>
  <si>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</si>
  <si>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</si>
  <si>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</si>
  <si>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</si>
  <si>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</si>
  <si>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</si>
  <si>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</si>
  <si>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</si>
  <si>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</si>
  <si>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</si>
  <si>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</si>
  <si>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</si>
  <si>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</si>
  <si>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</si>
  <si>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</si>
  <si>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</si>
  <si>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</si>
  <si>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</si>
  <si>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</si>
  <si>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</si>
  <si>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</si>
  <si>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</si>
  <si>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</si>
  <si>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</si>
  <si>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</si>
  <si>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</si>
  <si>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</si>
  <si>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</si>
  <si>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</si>
  <si>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</si>
  <si>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</si>
  <si>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</si>
  <si>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</si>
  <si>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</si>
  <si>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</si>
  <si>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</si>
  <si>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</si>
  <si>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</si>
  <si>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</si>
  <si>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</si>
  <si>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</si>
  <si>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</si>
  <si>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</si>
  <si>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</si>
  <si>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</si>
  <si>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</si>
  <si>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</si>
  <si>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</si>
  <si>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</si>
  <si>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</si>
  <si>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</si>
  <si>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</si>
  <si>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</si>
  <si>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</si>
  <si>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</si>
  <si>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</si>
  <si>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</si>
  <si>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</si>
  <si>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</si>
  <si>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</si>
  <si>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</si>
  <si>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</si>
  <si>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</si>
  <si>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</si>
  <si>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</si>
  <si>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</si>
  <si>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</si>
  <si>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</si>
  <si>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</si>
  <si>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</si>
  <si>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</si>
  <si>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</si>
  <si>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</si>
  <si>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</si>
  <si>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</si>
  <si>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</si>
  <si>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</si>
  <si>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</si>
  <si>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</si>
  <si>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</si>
  <si>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</si>
  <si>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</si>
  <si>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</si>
  <si>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</si>
  <si>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</si>
  <si>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</si>
  <si>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</si>
  <si>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</si>
  <si>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</si>
  <si>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</si>
  <si>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</si>
  <si>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</si>
  <si>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</si>
  <si>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</si>
  <si>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</si>
  <si>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</si>
  <si>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</si>
  <si>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</si>
  <si>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</si>
  <si>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</si>
  <si>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</si>
  <si>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</si>
  <si>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</si>
  <si>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</si>
  <si>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</si>
  <si>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</si>
  <si>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</si>
  <si>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</si>
  <si>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</si>
  <si>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</si>
  <si>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</si>
  <si>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</si>
  <si>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Table Sales</t>
  </si>
  <si>
    <t>Table Profit</t>
  </si>
  <si>
    <t xml:space="preserve">Sales by sub Category </t>
  </si>
  <si>
    <t xml:space="preserve">Category and sales </t>
  </si>
  <si>
    <t xml:space="preserve">Customer Count by Year </t>
  </si>
  <si>
    <t>Count of Customer Name</t>
  </si>
  <si>
    <t>Sales by state</t>
  </si>
  <si>
    <t xml:space="preserve">State </t>
  </si>
  <si>
    <t xml:space="preserve">Top 5 custormer by profit </t>
  </si>
  <si>
    <t xml:space="preserve">Sales by Month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</si>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</sst>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4">
    <font>
      <sz val="11"/>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2" borderId="0" applyNumberFormat="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3" fillId="0" borderId="0" xfId="0" applyFont="1"/>
    <xf numFmtId="0" fontId="0" fillId="0" borderId="0" xfId="0" applyAlignment="1">
      <alignment horizontal="left" indent="1"/>
    </xf>
    <xf numFmtId="164" fontId="0" fillId="0" borderId="0" xfId="0" applyNumberFormat="1"/>
    <xf numFmtId="164" fontId="0" fillId="0" borderId="0" xfId="1" applyNumberFormat="1" applyFont="1"/>
    <xf numFmtId="0" fontId="2" fillId="2" borderId="0" xfId="2"/>
  </cellXfs>
  <cellStyles count="3">
    <cellStyle name="Currency" xfId="1" builtinId="4"/>
    <cellStyle name="Good" xfId="2" builtinId="26"/>
    <cellStyle name="Normal" xfId="0" builtinId="0"/>
  </cellStyles>
  <dxfs count="372">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color theme="0"/>
      </font>
    </dxf>
    <dxf>
      <font>
        <color theme="1"/>
      </font>
      <fill>
        <patternFill>
          <bgColor rgb="FF0C769E"/>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1" defaultTableStyle="TableStyleMedium2" defaultPivotStyle="PivotStyleLight16">
    <tableStyle name="Slicer Style 1" pivot="0" table="0" count="4" xr9:uid="{244793C0-0B04-4401-99E0-B235FD87B03A}">
      <tableStyleElement type="wholeTable" dxfId="197"/>
      <tableStyleElement type="headerRow" dxfId="196"/>
    </tableStyle>
  </tableStyles>
  <colors>
    <mruColors>
      <color rgb="FF0C769E"/>
      <color rgb="FF060539"/>
    </mruColors>
  </colors>
  <extLst>
    <ext xmlns:x14="http://schemas.microsoft.com/office/spreadsheetml/2009/9/main" uri="{46F421CA-312F-682f-3DD2-61675219B42D}">
      <x14:dxfs count="4">
        <dxf>
          <fill>
            <patternFill>
              <bgColor theme="3" tint="0.499984740745262"/>
            </patternFill>
          </fill>
        </dxf>
        <dxf>
          <fill>
            <patternFill>
              <bgColor rgb="FF0C769E"/>
            </patternFill>
          </fill>
        </dxf>
        <dxf>
          <fill>
            <patternFill>
              <bgColor theme="3" tint="0.24994659260841701"/>
            </patternFill>
          </fill>
        </dxf>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Profit</a:t>
            </a:r>
            <a:r>
              <a:rPr lang="en-US" b="1" baseline="0">
                <a:solidFill>
                  <a:schemeClr val="tx1"/>
                </a:solidFill>
                <a:latin typeface="Times New Roman" panose="02020603050405020304" pitchFamily="18" charset="0"/>
                <a:cs typeface="Times New Roman" panose="02020603050405020304" pitchFamily="18" charset="0"/>
              </a:rPr>
              <a:t> by Year</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8669760247486465E-3"/>
              <c:y val="-3.3333333333333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pivotable!$D$3:$D$4</c:f>
              <c:strCache>
                <c:ptCount val="1"/>
                <c:pt idx="0">
                  <c:v>Furniture</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pivotable!$C$5:$C$6</c:f>
              <c:strCache>
                <c:ptCount val="1"/>
                <c:pt idx="0">
                  <c:v>2024</c:v>
                </c:pt>
              </c:strCache>
            </c:strRef>
          </c:cat>
          <c:val>
            <c:numRef>
              <c:f>pivotable!$D$5:$D$6</c:f>
              <c:numCache>
                <c:formatCode>_("$"* #,##0_);_("$"* \(#,##0\);_("$"* "-"??_);_(@_)</c:formatCode>
                <c:ptCount val="1"/>
                <c:pt idx="0">
                  <c:v>1187.8099999999995</c:v>
                </c:pt>
              </c:numCache>
            </c:numRef>
          </c:val>
          <c:extLst>
            <c:ext xmlns:c16="http://schemas.microsoft.com/office/drawing/2014/chart" uri="{C3380CC4-5D6E-409C-BE32-E72D297353CC}">
              <c16:uniqueId val="{00000000-A2A6-4DFB-B367-3425441483FF}"/>
            </c:ext>
          </c:extLst>
        </c:ser>
        <c:ser>
          <c:idx val="1"/>
          <c:order val="1"/>
          <c:tx>
            <c:strRef>
              <c:f>pivotable!$E$3:$E$4</c:f>
              <c:strCache>
                <c:ptCount val="1"/>
                <c:pt idx="0">
                  <c:v>Office Supplies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pivotable!$C$5:$C$6</c:f>
              <c:strCache>
                <c:ptCount val="1"/>
                <c:pt idx="0">
                  <c:v>2024</c:v>
                </c:pt>
              </c:strCache>
            </c:strRef>
          </c:cat>
          <c:val>
            <c:numRef>
              <c:f>pivotable!$E$5:$E$6</c:f>
              <c:numCache>
                <c:formatCode>_("$"* #,##0_);_("$"* \(#,##0\);_("$"* "-"??_);_(@_)</c:formatCode>
                <c:ptCount val="1"/>
                <c:pt idx="0">
                  <c:v>12707.369999999992</c:v>
                </c:pt>
              </c:numCache>
            </c:numRef>
          </c:val>
          <c:extLst>
            <c:ext xmlns:c16="http://schemas.microsoft.com/office/drawing/2014/chart" uri="{C3380CC4-5D6E-409C-BE32-E72D297353CC}">
              <c16:uniqueId val="{00000008-FDE2-4493-A866-EF9C60B01ED6}"/>
            </c:ext>
          </c:extLst>
        </c:ser>
        <c:dLbls>
          <c:dLblPos val="outEnd"/>
          <c:showLegendKey val="0"/>
          <c:showVal val="1"/>
          <c:showCatName val="0"/>
          <c:showSerName val="0"/>
          <c:showPercent val="0"/>
          <c:showBubbleSize val="0"/>
        </c:dLbls>
        <c:gapWidth val="50"/>
        <c:overlap val="-27"/>
        <c:axId val="587221968"/>
        <c:axId val="205280000"/>
      </c:barChart>
      <c:catAx>
        <c:axId val="58722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80000"/>
        <c:crosses val="autoZero"/>
        <c:auto val="1"/>
        <c:lblAlgn val="ctr"/>
        <c:lblOffset val="100"/>
        <c:noMultiLvlLbl val="0"/>
      </c:catAx>
      <c:valAx>
        <c:axId val="205280000"/>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58722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Sales By Category</a:t>
            </a:r>
            <a:r>
              <a:rPr lang="en-US" b="1" baseline="0">
                <a:solidFill>
                  <a:schemeClr val="tx1"/>
                </a:solidFill>
                <a:latin typeface="Times New Roman" panose="02020603050405020304" pitchFamily="18" charset="0"/>
                <a:cs typeface="Times New Roman" panose="02020603050405020304" pitchFamily="18" charset="0"/>
              </a:rPr>
              <a:t> </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11522510067921"/>
          <c:y val="0.12135658914728682"/>
          <c:w val="0.62884137527893524"/>
          <c:h val="0.8088759689922480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pivotable!$L$3:$L$21</c:f>
              <c:strCache>
                <c:ptCount val="19"/>
                <c:pt idx="0">
                  <c:v>Category and sales </c:v>
                </c:pt>
                <c:pt idx="1">
                  <c:v>Binders</c:v>
                </c:pt>
                <c:pt idx="2">
                  <c:v>Chairs</c:v>
                </c:pt>
                <c:pt idx="3">
                  <c:v>Storage</c:v>
                </c:pt>
                <c:pt idx="4">
                  <c:v>Appliances</c:v>
                </c:pt>
                <c:pt idx="5">
                  <c:v>Tables</c:v>
                </c:pt>
                <c:pt idx="6">
                  <c:v>Bookcases</c:v>
                </c:pt>
                <c:pt idx="7">
                  <c:v>Paper</c:v>
                </c:pt>
                <c:pt idx="8">
                  <c:v>Supplies</c:v>
                </c:pt>
                <c:pt idx="9">
                  <c:v>Furnishings</c:v>
                </c:pt>
                <c:pt idx="10">
                  <c:v>Art</c:v>
                </c:pt>
                <c:pt idx="11">
                  <c:v>Labels</c:v>
                </c:pt>
                <c:pt idx="12">
                  <c:v>Envelopes</c:v>
                </c:pt>
                <c:pt idx="13">
                  <c:v>Fasteners</c:v>
                </c:pt>
                <c:pt idx="14">
                  <c:v>Grand Total</c:v>
                </c:pt>
                <c:pt idx="15">
                  <c:v>0</c:v>
                </c:pt>
                <c:pt idx="16">
                  <c:v>0</c:v>
                </c:pt>
                <c:pt idx="17">
                  <c:v>0</c:v>
                </c:pt>
                <c:pt idx="18">
                  <c:v>0</c:v>
                </c:pt>
              </c:strCache>
            </c:strRef>
          </c:xVal>
          <c:yVal>
            <c:numRef>
              <c:f>pivotable!$M$3:$M$21</c:f>
              <c:numCache>
                <c:formatCode>_("$"* #,##0_);_("$"* \(#,##0\);_("$"* "-"??_);_(@_)</c:formatCode>
                <c:ptCount val="19"/>
                <c:pt idx="1">
                  <c:v>0</c:v>
                </c:pt>
                <c:pt idx="2">
                  <c:v>20162.169999999995</c:v>
                </c:pt>
                <c:pt idx="3">
                  <c:v>17465.43</c:v>
                </c:pt>
                <c:pt idx="4">
                  <c:v>24737.090000000004</c:v>
                </c:pt>
                <c:pt idx="5">
                  <c:v>10372.609999999999</c:v>
                </c:pt>
                <c:pt idx="6">
                  <c:v>0</c:v>
                </c:pt>
                <c:pt idx="7">
                  <c:v>0</c:v>
                </c:pt>
                <c:pt idx="8">
                  <c:v>0</c:v>
                </c:pt>
                <c:pt idx="9">
                  <c:v>6067.0899999999992</c:v>
                </c:pt>
                <c:pt idx="10">
                  <c:v>12812.33</c:v>
                </c:pt>
                <c:pt idx="11">
                  <c:v>3812.6300000000006</c:v>
                </c:pt>
                <c:pt idx="12">
                  <c:v>5123.2299999999977</c:v>
                </c:pt>
                <c:pt idx="13">
                  <c:v>4643.59</c:v>
                </c:pt>
                <c:pt idx="14">
                  <c:v>2186.2899999999995</c:v>
                </c:pt>
                <c:pt idx="15">
                  <c:v>537.16999999999996</c:v>
                </c:pt>
                <c:pt idx="16">
                  <c:v>601.94999999999993</c:v>
                </c:pt>
                <c:pt idx="17">
                  <c:v>139.04999999999998</c:v>
                </c:pt>
                <c:pt idx="18">
                  <c:v>108660.62999999999</c:v>
                </c:pt>
              </c:numCache>
            </c:numRef>
          </c:yVal>
          <c:smooth val="1"/>
          <c:extLst>
            <c:ext xmlns:c16="http://schemas.microsoft.com/office/drawing/2014/chart" uri="{C3380CC4-5D6E-409C-BE32-E72D297353CC}">
              <c16:uniqueId val="{00000000-0B85-4DA0-BA82-7C7C6FDBED1B}"/>
            </c:ext>
          </c:extLst>
        </c:ser>
        <c:dLbls>
          <c:showLegendKey val="0"/>
          <c:showVal val="0"/>
          <c:showCatName val="0"/>
          <c:showSerName val="0"/>
          <c:showPercent val="0"/>
          <c:showBubbleSize val="0"/>
        </c:dLbls>
        <c:axId val="593650256"/>
        <c:axId val="698253440"/>
      </c:scatterChart>
      <c:valAx>
        <c:axId val="59365025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53440"/>
        <c:crosses val="autoZero"/>
        <c:crossBetween val="midCat"/>
      </c:valAx>
      <c:valAx>
        <c:axId val="69825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3650256"/>
        <c:crosses val="autoZero"/>
        <c:crossBetween val="midCat"/>
      </c:valA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tx2">
              <a:lumMod val="75000"/>
              <a:lumOff val="25000"/>
            </a:schemeClr>
          </a:solidFill>
          <a:prstDash val="solid"/>
          <a:miter lim="800000"/>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Customer</a:t>
            </a:r>
            <a:r>
              <a:rPr lang="en-US" b="1" baseline="0">
                <a:solidFill>
                  <a:schemeClr val="tx1"/>
                </a:solidFill>
                <a:latin typeface="Times New Roman" panose="02020603050405020304" pitchFamily="18" charset="0"/>
                <a:cs typeface="Times New Roman" panose="02020603050405020304" pitchFamily="18" charset="0"/>
              </a:rPr>
              <a:t> count by Year</a:t>
            </a:r>
            <a:endParaRPr lang="en-US"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9123204837490551"/>
          <c:y val="0.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tx2">
              <a:lumMod val="90000"/>
              <a:lumOff val="10000"/>
            </a:schemeClr>
          </a:solidFill>
          <a:ln w="19050">
            <a:noFill/>
          </a:ln>
          <a:effectLst/>
        </c:spPr>
        <c:dLbl>
          <c:idx val="0"/>
          <c:layout>
            <c:manualLayout>
              <c:x val="6.046863189720332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28073217038346399"/>
          <c:y val="0.24241666666666667"/>
          <c:w val="0.32845804988662131"/>
          <c:h val="0.72424999999999995"/>
        </c:manualLayout>
      </c:layout>
      <c:doughnutChart>
        <c:varyColors val="1"/>
        <c:ser>
          <c:idx val="0"/>
          <c:order val="0"/>
          <c:tx>
            <c:strRef>
              <c:f>pivotable!$T$5</c:f>
              <c:strCache>
                <c:ptCount val="1"/>
                <c:pt idx="0">
                  <c:v>Total</c:v>
                </c:pt>
              </c:strCache>
            </c:strRef>
          </c:tx>
          <c:dPt>
            <c:idx val="0"/>
            <c:bubble3D val="0"/>
            <c:explosion val="8"/>
            <c:spPr>
              <a:solidFill>
                <a:schemeClr val="accent1"/>
              </a:solidFill>
              <a:ln w="19050">
                <a:noFill/>
              </a:ln>
              <a:effectLst/>
            </c:spPr>
            <c:extLst>
              <c:ext xmlns:c16="http://schemas.microsoft.com/office/drawing/2014/chart" uri="{C3380CC4-5D6E-409C-BE32-E72D297353CC}">
                <c16:uniqueId val="{00000001-B0A8-47C9-BEC7-0BF5406B7D0E}"/>
              </c:ext>
            </c:extLst>
          </c:dPt>
          <c:dPt>
            <c:idx val="1"/>
            <c:bubble3D val="0"/>
            <c:explosion val="5"/>
            <c:spPr>
              <a:solidFill>
                <a:schemeClr val="tx2">
                  <a:lumMod val="90000"/>
                  <a:lumOff val="10000"/>
                </a:schemeClr>
              </a:solidFill>
              <a:ln w="19050">
                <a:noFill/>
              </a:ln>
              <a:effectLst/>
            </c:spPr>
            <c:extLst>
              <c:ext xmlns:c16="http://schemas.microsoft.com/office/drawing/2014/chart" uri="{C3380CC4-5D6E-409C-BE32-E72D297353CC}">
                <c16:uniqueId val="{00000003-B0A8-47C9-BEC7-0BF5406B7D0E}"/>
              </c:ext>
            </c:extLst>
          </c:dPt>
          <c:dPt>
            <c:idx val="2"/>
            <c:bubble3D val="0"/>
            <c:explosion val="5"/>
            <c:spPr>
              <a:solidFill>
                <a:schemeClr val="tx2">
                  <a:lumMod val="75000"/>
                  <a:lumOff val="25000"/>
                </a:schemeClr>
              </a:solidFill>
              <a:ln w="19050">
                <a:noFill/>
              </a:ln>
              <a:effectLst/>
            </c:spPr>
            <c:extLst>
              <c:ext xmlns:c16="http://schemas.microsoft.com/office/drawing/2014/chart" uri="{C3380CC4-5D6E-409C-BE32-E72D297353CC}">
                <c16:uniqueId val="{00000005-B0A8-47C9-BEC7-0BF5406B7D0E}"/>
              </c:ext>
            </c:extLst>
          </c:dPt>
          <c:dPt>
            <c:idx val="3"/>
            <c:bubble3D val="0"/>
            <c:explosion val="7"/>
            <c:spPr>
              <a:solidFill>
                <a:schemeClr val="accent4"/>
              </a:solidFill>
              <a:ln w="19050">
                <a:noFill/>
              </a:ln>
              <a:effectLst/>
            </c:spPr>
            <c:extLst>
              <c:ext xmlns:c16="http://schemas.microsoft.com/office/drawing/2014/chart" uri="{C3380CC4-5D6E-409C-BE32-E72D297353CC}">
                <c16:uniqueId val="{00000007-B0A8-47C9-BEC7-0BF5406B7D0E}"/>
              </c:ext>
            </c:extLst>
          </c:dPt>
          <c:dLbls>
            <c:dLbl>
              <c:idx val="1"/>
              <c:layout>
                <c:manualLayout>
                  <c:x val="6.04686318972033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A8-47C9-BEC7-0BF5406B7D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pivotable!$S$6:$S$10</c:f>
              <c:strCache>
                <c:ptCount val="4"/>
                <c:pt idx="0">
                  <c:v>2021</c:v>
                </c:pt>
                <c:pt idx="1">
                  <c:v>2022</c:v>
                </c:pt>
                <c:pt idx="2">
                  <c:v>2023</c:v>
                </c:pt>
                <c:pt idx="3">
                  <c:v>2024</c:v>
                </c:pt>
              </c:strCache>
            </c:strRef>
          </c:cat>
          <c:val>
            <c:numRef>
              <c:f>pivotable!$T$6:$T$10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B0A8-47C9-BEC7-0BF5406B7D0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206146850691285"/>
          <c:y val="0.30245603674540683"/>
          <c:w val="0.12897405681432678"/>
          <c:h val="0.56250393700787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Data.xlsx]pivotable!PivotTable6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Sales</a:t>
            </a:r>
            <a:r>
              <a:rPr lang="en-US" b="1" baseline="0">
                <a:solidFill>
                  <a:sysClr val="windowText" lastClr="000000"/>
                </a:solidFill>
                <a:latin typeface="Times New Roman" panose="02020603050405020304" pitchFamily="18" charset="0"/>
                <a:cs typeface="Times New Roman" panose="02020603050405020304" pitchFamily="18" charset="0"/>
              </a:rPr>
              <a:t> by state</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34546927323739707"/>
          <c:y val="7.37520932055438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pivotable!$W$6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pivotable!$V$7:$V$48</c:f>
              <c:strCache>
                <c:ptCount val="41"/>
                <c:pt idx="0">
                  <c:v>Alabama</c:v>
                </c:pt>
                <c:pt idx="1">
                  <c:v>Arizona</c:v>
                </c:pt>
                <c:pt idx="2">
                  <c:v>Arkansas</c:v>
                </c:pt>
                <c:pt idx="3">
                  <c:v>California</c:v>
                </c:pt>
                <c:pt idx="4">
                  <c:v>Colorado</c:v>
                </c:pt>
                <c:pt idx="5">
                  <c:v>Connecticut</c:v>
                </c:pt>
                <c:pt idx="6">
                  <c:v>District of Columbia</c:v>
                </c:pt>
                <c:pt idx="7">
                  <c:v>Florida</c:v>
                </c:pt>
                <c:pt idx="8">
                  <c:v>Georgia</c:v>
                </c:pt>
                <c:pt idx="9">
                  <c:v>Illinois</c:v>
                </c:pt>
                <c:pt idx="10">
                  <c:v>Indiana</c:v>
                </c:pt>
                <c:pt idx="11">
                  <c:v>Iowa</c:v>
                </c:pt>
                <c:pt idx="12">
                  <c:v>Kansas</c:v>
                </c:pt>
                <c:pt idx="13">
                  <c:v>Kentucky</c:v>
                </c:pt>
                <c:pt idx="14">
                  <c:v>Louisiana</c:v>
                </c:pt>
                <c:pt idx="15">
                  <c:v>Maryland</c:v>
                </c:pt>
                <c:pt idx="16">
                  <c:v>Massachusetts</c:v>
                </c:pt>
                <c:pt idx="17">
                  <c:v>Michigan</c:v>
                </c:pt>
                <c:pt idx="18">
                  <c:v>Minnesota</c:v>
                </c:pt>
                <c:pt idx="19">
                  <c:v>Mississippi</c:v>
                </c:pt>
                <c:pt idx="20">
                  <c:v>Missouri</c:v>
                </c:pt>
                <c:pt idx="21">
                  <c:v>Montana</c:v>
                </c:pt>
                <c:pt idx="22">
                  <c:v>Nebraska</c:v>
                </c:pt>
                <c:pt idx="23">
                  <c:v>Nevada</c:v>
                </c:pt>
                <c:pt idx="24">
                  <c:v>New Hampshire</c:v>
                </c:pt>
                <c:pt idx="25">
                  <c:v>New Jersey</c:v>
                </c:pt>
                <c:pt idx="26">
                  <c:v>New Mexico</c:v>
                </c:pt>
                <c:pt idx="27">
                  <c:v>New York</c:v>
                </c:pt>
                <c:pt idx="28">
                  <c:v>North Carolina</c:v>
                </c:pt>
                <c:pt idx="29">
                  <c:v>Ohio</c:v>
                </c:pt>
                <c:pt idx="30">
                  <c:v>Oregon</c:v>
                </c:pt>
                <c:pt idx="31">
                  <c:v>Pennsylvania</c:v>
                </c:pt>
                <c:pt idx="32">
                  <c:v>Rhode Island</c:v>
                </c:pt>
                <c:pt idx="33">
                  <c:v>Tennessee</c:v>
                </c:pt>
                <c:pt idx="34">
                  <c:v>Texas</c:v>
                </c:pt>
                <c:pt idx="35">
                  <c:v>Utah</c:v>
                </c:pt>
                <c:pt idx="36">
                  <c:v>Vermont</c:v>
                </c:pt>
                <c:pt idx="37">
                  <c:v>Virginia</c:v>
                </c:pt>
                <c:pt idx="38">
                  <c:v>Washington</c:v>
                </c:pt>
                <c:pt idx="39">
                  <c:v>West Virginia</c:v>
                </c:pt>
                <c:pt idx="40">
                  <c:v>Wisconsin</c:v>
                </c:pt>
              </c:strCache>
            </c:strRef>
          </c:cat>
          <c:val>
            <c:numRef>
              <c:f>pivotable!$W$7:$W$48</c:f>
              <c:numCache>
                <c:formatCode>_("$"* #,##0_);_("$"* \(#,##0\);_("$"* "-"??_);_(@_)</c:formatCode>
                <c:ptCount val="41"/>
                <c:pt idx="0">
                  <c:v>72.610000000000014</c:v>
                </c:pt>
                <c:pt idx="1">
                  <c:v>1074.28</c:v>
                </c:pt>
                <c:pt idx="2">
                  <c:v>117.62</c:v>
                </c:pt>
                <c:pt idx="3">
                  <c:v>24219.759999999998</c:v>
                </c:pt>
                <c:pt idx="4">
                  <c:v>598.24</c:v>
                </c:pt>
                <c:pt idx="5">
                  <c:v>708.55000000000007</c:v>
                </c:pt>
                <c:pt idx="6">
                  <c:v>77.759999999999991</c:v>
                </c:pt>
                <c:pt idx="7">
                  <c:v>2688.56</c:v>
                </c:pt>
                <c:pt idx="8">
                  <c:v>612.53</c:v>
                </c:pt>
                <c:pt idx="9">
                  <c:v>2460.6499999999996</c:v>
                </c:pt>
                <c:pt idx="10">
                  <c:v>6260.2800000000007</c:v>
                </c:pt>
                <c:pt idx="11">
                  <c:v>269.41999999999996</c:v>
                </c:pt>
                <c:pt idx="12">
                  <c:v>279.89999999999998</c:v>
                </c:pt>
                <c:pt idx="13">
                  <c:v>599.30999999999995</c:v>
                </c:pt>
                <c:pt idx="14">
                  <c:v>638.65</c:v>
                </c:pt>
                <c:pt idx="15">
                  <c:v>2411.8000000000002</c:v>
                </c:pt>
                <c:pt idx="16">
                  <c:v>1948.8400000000001</c:v>
                </c:pt>
                <c:pt idx="17">
                  <c:v>6679.74</c:v>
                </c:pt>
                <c:pt idx="18">
                  <c:v>667.93</c:v>
                </c:pt>
                <c:pt idx="19">
                  <c:v>866.4</c:v>
                </c:pt>
                <c:pt idx="20">
                  <c:v>4619.329999999999</c:v>
                </c:pt>
                <c:pt idx="21">
                  <c:v>1189.43</c:v>
                </c:pt>
                <c:pt idx="22">
                  <c:v>73.97</c:v>
                </c:pt>
                <c:pt idx="23">
                  <c:v>75.790000000000006</c:v>
                </c:pt>
                <c:pt idx="24">
                  <c:v>252.51999999999998</c:v>
                </c:pt>
                <c:pt idx="25">
                  <c:v>107.66</c:v>
                </c:pt>
                <c:pt idx="26">
                  <c:v>228.28</c:v>
                </c:pt>
                <c:pt idx="27">
                  <c:v>12822.88</c:v>
                </c:pt>
                <c:pt idx="28">
                  <c:v>1723.9299999999998</c:v>
                </c:pt>
                <c:pt idx="29">
                  <c:v>1799.02</c:v>
                </c:pt>
                <c:pt idx="30">
                  <c:v>93.890000000000015</c:v>
                </c:pt>
                <c:pt idx="31">
                  <c:v>10296.86</c:v>
                </c:pt>
                <c:pt idx="32">
                  <c:v>102.93</c:v>
                </c:pt>
                <c:pt idx="33">
                  <c:v>3060.920000000001</c:v>
                </c:pt>
                <c:pt idx="34">
                  <c:v>6428.4500000000007</c:v>
                </c:pt>
                <c:pt idx="35">
                  <c:v>102.72</c:v>
                </c:pt>
                <c:pt idx="36">
                  <c:v>637.17999999999995</c:v>
                </c:pt>
                <c:pt idx="37">
                  <c:v>263.38</c:v>
                </c:pt>
                <c:pt idx="38">
                  <c:v>10875.17</c:v>
                </c:pt>
                <c:pt idx="39">
                  <c:v>536.48</c:v>
                </c:pt>
                <c:pt idx="40">
                  <c:v>117.00999999999999</c:v>
                </c:pt>
              </c:numCache>
            </c:numRef>
          </c:val>
          <c:smooth val="0"/>
          <c:extLst>
            <c:ext xmlns:c16="http://schemas.microsoft.com/office/drawing/2014/chart" uri="{C3380CC4-5D6E-409C-BE32-E72D297353CC}">
              <c16:uniqueId val="{00000000-D796-42BD-A970-9F5CCE3D1634}"/>
            </c:ext>
          </c:extLst>
        </c:ser>
        <c:dLbls>
          <c:showLegendKey val="0"/>
          <c:showVal val="0"/>
          <c:showCatName val="0"/>
          <c:showSerName val="0"/>
          <c:showPercent val="0"/>
          <c:showBubbleSize val="0"/>
        </c:dLbls>
        <c:marker val="1"/>
        <c:smooth val="0"/>
        <c:axId val="1278035520"/>
        <c:axId val="1168338416"/>
      </c:lineChart>
      <c:catAx>
        <c:axId val="127803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338416"/>
        <c:crosses val="autoZero"/>
        <c:auto val="1"/>
        <c:lblAlgn val="ctr"/>
        <c:lblOffset val="100"/>
        <c:noMultiLvlLbl val="0"/>
      </c:catAx>
      <c:valAx>
        <c:axId val="11683384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03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Top 5 Customer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pivotable!$AC$6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pivotable!$AB$7:$AB$12</c:f>
              <c:strCache>
                <c:ptCount val="5"/>
                <c:pt idx="0">
                  <c:v>Andy Reiter</c:v>
                </c:pt>
                <c:pt idx="1">
                  <c:v>Pete Kriz</c:v>
                </c:pt>
                <c:pt idx="2">
                  <c:v>Helen Wasserman</c:v>
                </c:pt>
                <c:pt idx="3">
                  <c:v>Yana Sorensen</c:v>
                </c:pt>
                <c:pt idx="4">
                  <c:v>Rick Wilson</c:v>
                </c:pt>
              </c:strCache>
            </c:strRef>
          </c:cat>
          <c:val>
            <c:numRef>
              <c:f>pivotable!$AC$7:$AC$12</c:f>
              <c:numCache>
                <c:formatCode>_("$"* #,##0_);_("$"* \(#,##0\);_("$"* "-"??_);_(@_)</c:formatCode>
                <c:ptCount val="5"/>
                <c:pt idx="0">
                  <c:v>2602.0899999999997</c:v>
                </c:pt>
                <c:pt idx="1">
                  <c:v>1464.35</c:v>
                </c:pt>
                <c:pt idx="2">
                  <c:v>1341.66</c:v>
                </c:pt>
                <c:pt idx="3">
                  <c:v>1255.25</c:v>
                </c:pt>
                <c:pt idx="4">
                  <c:v>934.53</c:v>
                </c:pt>
              </c:numCache>
            </c:numRef>
          </c:val>
          <c:extLst>
            <c:ext xmlns:c16="http://schemas.microsoft.com/office/drawing/2014/chart" uri="{C3380CC4-5D6E-409C-BE32-E72D297353CC}">
              <c16:uniqueId val="{00000000-17B1-4E63-994F-AF030826C046}"/>
            </c:ext>
          </c:extLst>
        </c:ser>
        <c:dLbls>
          <c:dLblPos val="outEnd"/>
          <c:showLegendKey val="0"/>
          <c:showVal val="1"/>
          <c:showCatName val="0"/>
          <c:showSerName val="0"/>
          <c:showPercent val="0"/>
          <c:showBubbleSize val="0"/>
        </c:dLbls>
        <c:gapWidth val="69"/>
        <c:axId val="11548384"/>
        <c:axId val="401056"/>
      </c:barChart>
      <c:catAx>
        <c:axId val="11548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56"/>
        <c:crosses val="autoZero"/>
        <c:auto val="1"/>
        <c:lblAlgn val="ctr"/>
        <c:lblOffset val="100"/>
        <c:noMultiLvlLbl val="0"/>
      </c:catAx>
      <c:valAx>
        <c:axId val="40105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Sales</a:t>
            </a:r>
            <a:r>
              <a:rPr lang="en-US" b="1" baseline="0">
                <a:solidFill>
                  <a:sysClr val="windowText" lastClr="000000"/>
                </a:solidFill>
                <a:latin typeface="Times New Roman" panose="02020603050405020304" pitchFamily="18" charset="0"/>
                <a:cs typeface="Times New Roman" panose="02020603050405020304" pitchFamily="18" charset="0"/>
              </a:rPr>
              <a:t> by Month </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7465204298301"/>
          <c:y val="0.27224736048265458"/>
          <c:w val="0.76241258553458446"/>
          <c:h val="0.55280341088585649"/>
        </c:manualLayout>
      </c:layout>
      <c:barChart>
        <c:barDir val="col"/>
        <c:grouping val="stacked"/>
        <c:varyColors val="0"/>
        <c:ser>
          <c:idx val="0"/>
          <c:order val="0"/>
          <c:tx>
            <c:strRef>
              <c:f>pivotable!$AF$6</c:f>
              <c:strCache>
                <c:ptCount val="1"/>
                <c:pt idx="0">
                  <c:v>Total</c:v>
                </c:pt>
              </c:strCache>
            </c:strRef>
          </c:tx>
          <c:spPr>
            <a:solidFill>
              <a:schemeClr val="accent1"/>
            </a:solidFill>
            <a:ln>
              <a:noFill/>
            </a:ln>
            <a:effectLst/>
          </c:spPr>
          <c:invertIfNegative val="0"/>
          <c:cat>
            <c:strRef>
              <c:f>pivotable!$AE$7:$AE$10</c:f>
              <c:strCache>
                <c:ptCount val="3"/>
                <c:pt idx="0">
                  <c:v>Jan</c:v>
                </c:pt>
                <c:pt idx="1">
                  <c:v>Jun</c:v>
                </c:pt>
                <c:pt idx="2">
                  <c:v>Aug</c:v>
                </c:pt>
              </c:strCache>
            </c:strRef>
          </c:cat>
          <c:val>
            <c:numRef>
              <c:f>pivotable!$AF$7:$AF$10</c:f>
              <c:numCache>
                <c:formatCode>_("$"* #,##0_);_("$"* \(#,##0\);_("$"* "-"??_);_(@_)</c:formatCode>
                <c:ptCount val="3"/>
                <c:pt idx="0">
                  <c:v>27238.330000000013</c:v>
                </c:pt>
                <c:pt idx="1">
                  <c:v>35920.609999999979</c:v>
                </c:pt>
                <c:pt idx="2">
                  <c:v>45501.69000000001</c:v>
                </c:pt>
              </c:numCache>
            </c:numRef>
          </c:val>
          <c:extLst>
            <c:ext xmlns:c16="http://schemas.microsoft.com/office/drawing/2014/chart" uri="{C3380CC4-5D6E-409C-BE32-E72D297353CC}">
              <c16:uniqueId val="{00000000-81C9-46A4-8E1D-84CA941F7ED4}"/>
            </c:ext>
          </c:extLst>
        </c:ser>
        <c:dLbls>
          <c:showLegendKey val="0"/>
          <c:showVal val="0"/>
          <c:showCatName val="0"/>
          <c:showSerName val="0"/>
          <c:showPercent val="0"/>
          <c:showBubbleSize val="0"/>
        </c:dLbls>
        <c:gapWidth val="50"/>
        <c:overlap val="100"/>
        <c:axId val="10630784"/>
        <c:axId val="1278400"/>
      </c:barChart>
      <c:catAx>
        <c:axId val="106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400"/>
        <c:crosses val="autoZero"/>
        <c:auto val="1"/>
        <c:lblAlgn val="ctr"/>
        <c:lblOffset val="100"/>
        <c:noMultiLvlLbl val="0"/>
      </c:catAx>
      <c:valAx>
        <c:axId val="12784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15</xdr:col>
      <xdr:colOff>358140</xdr:colOff>
      <xdr:row>34</xdr:row>
      <xdr:rowOff>38100</xdr:rowOff>
    </xdr:to>
    <xdr:sp macro="" textlink="">
      <xdr:nvSpPr>
        <xdr:cNvPr id="3" name="Rectangle 2">
          <a:extLst>
            <a:ext uri="{FF2B5EF4-FFF2-40B4-BE49-F238E27FC236}">
              <a16:creationId xmlns:a16="http://schemas.microsoft.com/office/drawing/2014/main" id="{518632A2-1298-4952-A2D9-04DFD0FABEF5}"/>
            </a:ext>
          </a:extLst>
        </xdr:cNvPr>
        <xdr:cNvSpPr/>
      </xdr:nvSpPr>
      <xdr:spPr>
        <a:xfrm>
          <a:off x="0" y="38100"/>
          <a:ext cx="10416540" cy="5958840"/>
        </a:xfrm>
        <a:prstGeom prst="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0</xdr:row>
      <xdr:rowOff>45720</xdr:rowOff>
    </xdr:from>
    <xdr:to>
      <xdr:col>1</xdr:col>
      <xdr:colOff>510540</xdr:colOff>
      <xdr:row>4</xdr:row>
      <xdr:rowOff>38100</xdr:rowOff>
    </xdr:to>
    <xdr:sp macro="" textlink="">
      <xdr:nvSpPr>
        <xdr:cNvPr id="5" name="Rectangle: Rounded Corners 4">
          <a:extLst>
            <a:ext uri="{FF2B5EF4-FFF2-40B4-BE49-F238E27FC236}">
              <a16:creationId xmlns:a16="http://schemas.microsoft.com/office/drawing/2014/main" id="{37A37828-BA13-4372-A4A7-FEC741736E8F}"/>
            </a:ext>
          </a:extLst>
        </xdr:cNvPr>
        <xdr:cNvSpPr/>
      </xdr:nvSpPr>
      <xdr:spPr>
        <a:xfrm>
          <a:off x="15240" y="45720"/>
          <a:ext cx="1165860" cy="693420"/>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525780</xdr:colOff>
      <xdr:row>0</xdr:row>
      <xdr:rowOff>45720</xdr:rowOff>
    </xdr:from>
    <xdr:to>
      <xdr:col>15</xdr:col>
      <xdr:colOff>365760</xdr:colOff>
      <xdr:row>4</xdr:row>
      <xdr:rowOff>0</xdr:rowOff>
    </xdr:to>
    <xdr:sp macro="" textlink="">
      <xdr:nvSpPr>
        <xdr:cNvPr id="6" name="Rectangle: Rounded Corners 5">
          <a:extLst>
            <a:ext uri="{FF2B5EF4-FFF2-40B4-BE49-F238E27FC236}">
              <a16:creationId xmlns:a16="http://schemas.microsoft.com/office/drawing/2014/main" id="{DEEDD715-22E5-491A-B09F-FF3DC8EF97B9}"/>
            </a:ext>
          </a:extLst>
        </xdr:cNvPr>
        <xdr:cNvSpPr/>
      </xdr:nvSpPr>
      <xdr:spPr>
        <a:xfrm>
          <a:off x="1196340" y="45720"/>
          <a:ext cx="9227820" cy="655320"/>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43610</xdr:colOff>
      <xdr:row>4</xdr:row>
      <xdr:rowOff>60960</xdr:rowOff>
    </xdr:from>
    <xdr:to>
      <xdr:col>1</xdr:col>
      <xdr:colOff>502920</xdr:colOff>
      <xdr:row>34</xdr:row>
      <xdr:rowOff>0</xdr:rowOff>
    </xdr:to>
    <xdr:sp macro="" textlink="">
      <xdr:nvSpPr>
        <xdr:cNvPr id="7" name="Rectangle: Rounded Corners 6">
          <a:extLst>
            <a:ext uri="{FF2B5EF4-FFF2-40B4-BE49-F238E27FC236}">
              <a16:creationId xmlns:a16="http://schemas.microsoft.com/office/drawing/2014/main" id="{D03728D0-5160-4C5D-BACF-CAFCF9C67818}"/>
            </a:ext>
          </a:extLst>
        </xdr:cNvPr>
        <xdr:cNvSpPr/>
      </xdr:nvSpPr>
      <xdr:spPr>
        <a:xfrm rot="5400000">
          <a:off x="-1989875" y="2795485"/>
          <a:ext cx="5196840" cy="1129870"/>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609600</xdr:colOff>
      <xdr:row>4</xdr:row>
      <xdr:rowOff>38100</xdr:rowOff>
    </xdr:from>
    <xdr:to>
      <xdr:col>4</xdr:col>
      <xdr:colOff>236220</xdr:colOff>
      <xdr:row>9</xdr:row>
      <xdr:rowOff>114300</xdr:rowOff>
    </xdr:to>
    <xdr:sp macro="" textlink="">
      <xdr:nvSpPr>
        <xdr:cNvPr id="13" name="Rectangle: Rounded Corners 12">
          <a:extLst>
            <a:ext uri="{FF2B5EF4-FFF2-40B4-BE49-F238E27FC236}">
              <a16:creationId xmlns:a16="http://schemas.microsoft.com/office/drawing/2014/main" id="{0D99162B-213D-4B41-BE24-BEE70FEE8491}"/>
            </a:ext>
          </a:extLst>
        </xdr:cNvPr>
        <xdr:cNvSpPr/>
      </xdr:nvSpPr>
      <xdr:spPr>
        <a:xfrm>
          <a:off x="1280160" y="739140"/>
          <a:ext cx="1638300" cy="952500"/>
        </a:xfrm>
        <a:prstGeom prst="roundRect">
          <a:avLst>
            <a:gd name="adj" fmla="val 11022"/>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259080</xdr:colOff>
      <xdr:row>4</xdr:row>
      <xdr:rowOff>53340</xdr:rowOff>
    </xdr:from>
    <xdr:to>
      <xdr:col>6</xdr:col>
      <xdr:colOff>601980</xdr:colOff>
      <xdr:row>9</xdr:row>
      <xdr:rowOff>114300</xdr:rowOff>
    </xdr:to>
    <xdr:sp macro="" textlink="">
      <xdr:nvSpPr>
        <xdr:cNvPr id="14" name="Rectangle: Rounded Corners 13">
          <a:extLst>
            <a:ext uri="{FF2B5EF4-FFF2-40B4-BE49-F238E27FC236}">
              <a16:creationId xmlns:a16="http://schemas.microsoft.com/office/drawing/2014/main" id="{ADF00B7C-D9A4-49F8-BA43-3F25B20FC635}"/>
            </a:ext>
          </a:extLst>
        </xdr:cNvPr>
        <xdr:cNvSpPr/>
      </xdr:nvSpPr>
      <xdr:spPr>
        <a:xfrm>
          <a:off x="2941320" y="754380"/>
          <a:ext cx="1684020" cy="937260"/>
        </a:xfrm>
        <a:prstGeom prst="roundRect">
          <a:avLst>
            <a:gd name="adj" fmla="val 1092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541020</xdr:colOff>
      <xdr:row>9</xdr:row>
      <xdr:rowOff>137160</xdr:rowOff>
    </xdr:from>
    <xdr:to>
      <xdr:col>6</xdr:col>
      <xdr:colOff>609600</xdr:colOff>
      <xdr:row>21</xdr:row>
      <xdr:rowOff>91440</xdr:rowOff>
    </xdr:to>
    <xdr:sp macro="" textlink="">
      <xdr:nvSpPr>
        <xdr:cNvPr id="15" name="Rectangle: Rounded Corners 14">
          <a:extLst>
            <a:ext uri="{FF2B5EF4-FFF2-40B4-BE49-F238E27FC236}">
              <a16:creationId xmlns:a16="http://schemas.microsoft.com/office/drawing/2014/main" id="{B6C583F1-06C1-4896-9D57-D5BEFA18EBC6}"/>
            </a:ext>
          </a:extLst>
        </xdr:cNvPr>
        <xdr:cNvSpPr/>
      </xdr:nvSpPr>
      <xdr:spPr>
        <a:xfrm>
          <a:off x="1211580" y="1714500"/>
          <a:ext cx="3421380" cy="2057400"/>
        </a:xfrm>
        <a:prstGeom prst="roundRect">
          <a:avLst>
            <a:gd name="adj" fmla="val 8667"/>
          </a:avLst>
        </a:prstGeom>
        <a:gradFill>
          <a:gsLst>
            <a:gs pos="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541020</xdr:colOff>
      <xdr:row>21</xdr:row>
      <xdr:rowOff>106680</xdr:rowOff>
    </xdr:from>
    <xdr:to>
      <xdr:col>6</xdr:col>
      <xdr:colOff>655320</xdr:colOff>
      <xdr:row>34</xdr:row>
      <xdr:rowOff>0</xdr:rowOff>
    </xdr:to>
    <xdr:sp macro="" textlink="">
      <xdr:nvSpPr>
        <xdr:cNvPr id="17" name="Rectangle: Rounded Corners 16">
          <a:extLst>
            <a:ext uri="{FF2B5EF4-FFF2-40B4-BE49-F238E27FC236}">
              <a16:creationId xmlns:a16="http://schemas.microsoft.com/office/drawing/2014/main" id="{2CB05526-290E-4A44-978B-CE4C0A35CBD0}"/>
            </a:ext>
          </a:extLst>
        </xdr:cNvPr>
        <xdr:cNvSpPr/>
      </xdr:nvSpPr>
      <xdr:spPr>
        <a:xfrm>
          <a:off x="1211580" y="3787140"/>
          <a:ext cx="3467100" cy="2171700"/>
        </a:xfrm>
        <a:prstGeom prst="roundRect">
          <a:avLst>
            <a:gd name="adj" fmla="val 824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640080</xdr:colOff>
      <xdr:row>4</xdr:row>
      <xdr:rowOff>22860</xdr:rowOff>
    </xdr:from>
    <xdr:to>
      <xdr:col>10</xdr:col>
      <xdr:colOff>91440</xdr:colOff>
      <xdr:row>23</xdr:row>
      <xdr:rowOff>160020</xdr:rowOff>
    </xdr:to>
    <xdr:sp macro="" textlink="">
      <xdr:nvSpPr>
        <xdr:cNvPr id="18" name="Rectangle: Rounded Corners 17">
          <a:extLst>
            <a:ext uri="{FF2B5EF4-FFF2-40B4-BE49-F238E27FC236}">
              <a16:creationId xmlns:a16="http://schemas.microsoft.com/office/drawing/2014/main" id="{496345C9-2036-44CE-B81A-1AF7707CE767}"/>
            </a:ext>
          </a:extLst>
        </xdr:cNvPr>
        <xdr:cNvSpPr/>
      </xdr:nvSpPr>
      <xdr:spPr>
        <a:xfrm rot="5400000">
          <a:off x="3996690" y="1390650"/>
          <a:ext cx="3467100" cy="2133600"/>
        </a:xfrm>
        <a:prstGeom prst="roundRect">
          <a:avLst>
            <a:gd name="adj" fmla="val 5031"/>
          </a:avLst>
        </a:prstGeom>
        <a:gradFill>
          <a:gsLst>
            <a:gs pos="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23</xdr:row>
      <xdr:rowOff>160020</xdr:rowOff>
    </xdr:from>
    <xdr:to>
      <xdr:col>15</xdr:col>
      <xdr:colOff>327660</xdr:colOff>
      <xdr:row>34</xdr:row>
      <xdr:rowOff>30480</xdr:rowOff>
    </xdr:to>
    <xdr:sp macro="" textlink="">
      <xdr:nvSpPr>
        <xdr:cNvPr id="19" name="Rectangle: Rounded Corners 18">
          <a:extLst>
            <a:ext uri="{FF2B5EF4-FFF2-40B4-BE49-F238E27FC236}">
              <a16:creationId xmlns:a16="http://schemas.microsoft.com/office/drawing/2014/main" id="{FC9FB4F1-204E-4597-9D90-AD63CA685AF1}"/>
            </a:ext>
          </a:extLst>
        </xdr:cNvPr>
        <xdr:cNvSpPr/>
      </xdr:nvSpPr>
      <xdr:spPr>
        <a:xfrm>
          <a:off x="4693920" y="4191000"/>
          <a:ext cx="5692140" cy="1798320"/>
        </a:xfrm>
        <a:prstGeom prst="roundRect">
          <a:avLst>
            <a:gd name="adj" fmla="val 824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114300</xdr:colOff>
      <xdr:row>4</xdr:row>
      <xdr:rowOff>30480</xdr:rowOff>
    </xdr:from>
    <xdr:to>
      <xdr:col>15</xdr:col>
      <xdr:colOff>381000</xdr:colOff>
      <xdr:row>13</xdr:row>
      <xdr:rowOff>144780</xdr:rowOff>
    </xdr:to>
    <xdr:sp macro="" textlink="">
      <xdr:nvSpPr>
        <xdr:cNvPr id="20" name="Rectangle: Rounded Corners 19">
          <a:extLst>
            <a:ext uri="{FF2B5EF4-FFF2-40B4-BE49-F238E27FC236}">
              <a16:creationId xmlns:a16="http://schemas.microsoft.com/office/drawing/2014/main" id="{C3F6CC56-DBC4-4753-A382-3CC07E25DAA3}"/>
            </a:ext>
          </a:extLst>
        </xdr:cNvPr>
        <xdr:cNvSpPr/>
      </xdr:nvSpPr>
      <xdr:spPr>
        <a:xfrm>
          <a:off x="6819900" y="731520"/>
          <a:ext cx="3619500" cy="1691640"/>
        </a:xfrm>
        <a:prstGeom prst="roundRect">
          <a:avLst>
            <a:gd name="adj" fmla="val 8667"/>
          </a:avLst>
        </a:prstGeom>
        <a:gradFill>
          <a:gsLst>
            <a:gs pos="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99060</xdr:colOff>
      <xdr:row>13</xdr:row>
      <xdr:rowOff>152400</xdr:rowOff>
    </xdr:from>
    <xdr:to>
      <xdr:col>15</xdr:col>
      <xdr:colOff>342900</xdr:colOff>
      <xdr:row>23</xdr:row>
      <xdr:rowOff>137160</xdr:rowOff>
    </xdr:to>
    <xdr:sp macro="" textlink="">
      <xdr:nvSpPr>
        <xdr:cNvPr id="21" name="Rectangle: Rounded Corners 20">
          <a:extLst>
            <a:ext uri="{FF2B5EF4-FFF2-40B4-BE49-F238E27FC236}">
              <a16:creationId xmlns:a16="http://schemas.microsoft.com/office/drawing/2014/main" id="{AFCB276B-0A1F-4A6A-A31E-349A071250E8}"/>
            </a:ext>
          </a:extLst>
        </xdr:cNvPr>
        <xdr:cNvSpPr/>
      </xdr:nvSpPr>
      <xdr:spPr>
        <a:xfrm>
          <a:off x="6804660" y="2430780"/>
          <a:ext cx="3596640" cy="1737360"/>
        </a:xfrm>
        <a:prstGeom prst="roundRect">
          <a:avLst>
            <a:gd name="adj" fmla="val 8667"/>
          </a:avLst>
        </a:prstGeom>
        <a:gradFill>
          <a:gsLst>
            <a:gs pos="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reflection blurRad="6350" stA="52000" endA="300" endPos="35000" dir="5400000" sy="-100000" algn="bl" rotWithShape="0"/>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510540</xdr:colOff>
      <xdr:row>0</xdr:row>
      <xdr:rowOff>106680</xdr:rowOff>
    </xdr:from>
    <xdr:to>
      <xdr:col>14</xdr:col>
      <xdr:colOff>289560</xdr:colOff>
      <xdr:row>3</xdr:row>
      <xdr:rowOff>91440</xdr:rowOff>
    </xdr:to>
    <xdr:sp macro="" textlink="">
      <xdr:nvSpPr>
        <xdr:cNvPr id="22" name="TextBox 21">
          <a:extLst>
            <a:ext uri="{FF2B5EF4-FFF2-40B4-BE49-F238E27FC236}">
              <a16:creationId xmlns:a16="http://schemas.microsoft.com/office/drawing/2014/main" id="{3E1BB6FD-F042-43CC-8CB2-172F7519D3B4}"/>
            </a:ext>
          </a:extLst>
        </xdr:cNvPr>
        <xdr:cNvSpPr txBox="1"/>
      </xdr:nvSpPr>
      <xdr:spPr>
        <a:xfrm>
          <a:off x="1851660" y="106680"/>
          <a:ext cx="78257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latin typeface="Times New Roman" panose="02020603050405020304" pitchFamily="18" charset="0"/>
              <a:ea typeface="Microsoft Sans Serif" panose="020B0604020202020204" pitchFamily="34" charset="0"/>
              <a:cs typeface="Times New Roman" panose="02020603050405020304" pitchFamily="18" charset="0"/>
            </a:rPr>
            <a:t>Sales and</a:t>
          </a:r>
          <a:r>
            <a:rPr lang="en-US" sz="3200" b="1" baseline="0">
              <a:solidFill>
                <a:schemeClr val="bg1"/>
              </a:solidFill>
              <a:latin typeface="Times New Roman" panose="02020603050405020304" pitchFamily="18" charset="0"/>
              <a:ea typeface="Microsoft Sans Serif" panose="020B0604020202020204" pitchFamily="34" charset="0"/>
              <a:cs typeface="Times New Roman" panose="02020603050405020304" pitchFamily="18" charset="0"/>
            </a:rPr>
            <a:t> Profit Dashboard </a:t>
          </a:r>
          <a:endParaRPr lang="en-US" sz="3200" b="1">
            <a:solidFill>
              <a:schemeClr val="bg1"/>
            </a:solidFill>
            <a:latin typeface="Times New Roman" panose="02020603050405020304" pitchFamily="18" charset="0"/>
            <a:ea typeface="Microsoft Sans Serif" panose="020B0604020202020204" pitchFamily="34" charset="0"/>
            <a:cs typeface="Times New Roman" panose="02020603050405020304" pitchFamily="18" charset="0"/>
          </a:endParaRPr>
        </a:p>
      </xdr:txBody>
    </xdr:sp>
    <xdr:clientData/>
  </xdr:twoCellAnchor>
  <xdr:twoCellAnchor>
    <xdr:from>
      <xdr:col>0</xdr:col>
      <xdr:colOff>91440</xdr:colOff>
      <xdr:row>0</xdr:row>
      <xdr:rowOff>99060</xdr:rowOff>
    </xdr:from>
    <xdr:to>
      <xdr:col>1</xdr:col>
      <xdr:colOff>419100</xdr:colOff>
      <xdr:row>3</xdr:row>
      <xdr:rowOff>99060</xdr:rowOff>
    </xdr:to>
    <xdr:sp macro="" textlink="">
      <xdr:nvSpPr>
        <xdr:cNvPr id="23" name="TextBox 22">
          <a:extLst>
            <a:ext uri="{FF2B5EF4-FFF2-40B4-BE49-F238E27FC236}">
              <a16:creationId xmlns:a16="http://schemas.microsoft.com/office/drawing/2014/main" id="{910D1DC8-8031-4A45-9CD9-6989B6963A4F}"/>
            </a:ext>
          </a:extLst>
        </xdr:cNvPr>
        <xdr:cNvSpPr txBox="1"/>
      </xdr:nvSpPr>
      <xdr:spPr>
        <a:xfrm>
          <a:off x="91440" y="99060"/>
          <a:ext cx="9982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Times New Roman" panose="02020603050405020304" pitchFamily="18" charset="0"/>
              <a:cs typeface="Times New Roman" panose="02020603050405020304" pitchFamily="18" charset="0"/>
            </a:rPr>
            <a:t>ABC Company </a:t>
          </a:r>
        </a:p>
      </xdr:txBody>
    </xdr:sp>
    <xdr:clientData/>
  </xdr:twoCellAnchor>
  <xdr:twoCellAnchor>
    <xdr:from>
      <xdr:col>2</xdr:col>
      <xdr:colOff>533400</xdr:colOff>
      <xdr:row>4</xdr:row>
      <xdr:rowOff>167640</xdr:rowOff>
    </xdr:from>
    <xdr:to>
      <xdr:col>4</xdr:col>
      <xdr:colOff>281940</xdr:colOff>
      <xdr:row>6</xdr:row>
      <xdr:rowOff>76200</xdr:rowOff>
    </xdr:to>
    <xdr:sp macro="" textlink="">
      <xdr:nvSpPr>
        <xdr:cNvPr id="25" name="TextBox 24">
          <a:extLst>
            <a:ext uri="{FF2B5EF4-FFF2-40B4-BE49-F238E27FC236}">
              <a16:creationId xmlns:a16="http://schemas.microsoft.com/office/drawing/2014/main" id="{4440B8E2-20D6-446F-9214-C7334653EF87}"/>
            </a:ext>
          </a:extLst>
        </xdr:cNvPr>
        <xdr:cNvSpPr txBox="1"/>
      </xdr:nvSpPr>
      <xdr:spPr>
        <a:xfrm>
          <a:off x="1874520" y="868680"/>
          <a:ext cx="10896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Total Sales </a:t>
          </a:r>
        </a:p>
      </xdr:txBody>
    </xdr:sp>
    <xdr:clientData/>
  </xdr:twoCellAnchor>
  <xdr:twoCellAnchor editAs="oneCell">
    <xdr:from>
      <xdr:col>4</xdr:col>
      <xdr:colOff>7620</xdr:colOff>
      <xdr:row>0</xdr:row>
      <xdr:rowOff>114300</xdr:rowOff>
    </xdr:from>
    <xdr:to>
      <xdr:col>4</xdr:col>
      <xdr:colOff>548640</xdr:colOff>
      <xdr:row>3</xdr:row>
      <xdr:rowOff>129540</xdr:rowOff>
    </xdr:to>
    <xdr:pic>
      <xdr:nvPicPr>
        <xdr:cNvPr id="27" name="Picture 26" descr="Total sales volume Vector Icons free download in SVG, PNG Format">
          <a:extLst>
            <a:ext uri="{FF2B5EF4-FFF2-40B4-BE49-F238E27FC236}">
              <a16:creationId xmlns:a16="http://schemas.microsoft.com/office/drawing/2014/main" id="{CB8C9611-9DF0-42C6-AE32-83F8F95FB22D}"/>
            </a:ext>
          </a:extLst>
        </xdr:cNvPr>
        <xdr:cNvPicPr>
          <a:picLocks noChangeAspect="1" noChangeArrowheads="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rcRect/>
        <a:stretch>
          <a:fillRect/>
        </a:stretch>
      </xdr:blipFill>
      <xdr:spPr bwMode="auto">
        <a:xfrm>
          <a:off x="2689860" y="114300"/>
          <a:ext cx="541020" cy="54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91440</xdr:colOff>
      <xdr:row>6</xdr:row>
      <xdr:rowOff>0</xdr:rowOff>
    </xdr:from>
    <xdr:to>
      <xdr:col>2</xdr:col>
      <xdr:colOff>617220</xdr:colOff>
      <xdr:row>9</xdr:row>
      <xdr:rowOff>0</xdr:rowOff>
    </xdr:to>
    <xdr:pic>
      <xdr:nvPicPr>
        <xdr:cNvPr id="28" name="Picture 27" descr="Sales Generic Blue icon | Freepik">
          <a:extLst>
            <a:ext uri="{FF2B5EF4-FFF2-40B4-BE49-F238E27FC236}">
              <a16:creationId xmlns:a16="http://schemas.microsoft.com/office/drawing/2014/main" id="{59755603-BCB7-4F0B-BF81-9C4B6E8E67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32560" y="1051560"/>
          <a:ext cx="52578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137160</xdr:colOff>
      <xdr:row>5</xdr:row>
      <xdr:rowOff>7620</xdr:rowOff>
    </xdr:from>
    <xdr:to>
      <xdr:col>6</xdr:col>
      <xdr:colOff>647700</xdr:colOff>
      <xdr:row>6</xdr:row>
      <xdr:rowOff>121920</xdr:rowOff>
    </xdr:to>
    <xdr:sp macro="" textlink="">
      <xdr:nvSpPr>
        <xdr:cNvPr id="31" name="TextBox 30">
          <a:extLst>
            <a:ext uri="{FF2B5EF4-FFF2-40B4-BE49-F238E27FC236}">
              <a16:creationId xmlns:a16="http://schemas.microsoft.com/office/drawing/2014/main" id="{84BACFB5-EEE7-4860-A7BD-7BB1041F3ABA}"/>
            </a:ext>
          </a:extLst>
        </xdr:cNvPr>
        <xdr:cNvSpPr txBox="1"/>
      </xdr:nvSpPr>
      <xdr:spPr>
        <a:xfrm>
          <a:off x="3489960" y="883920"/>
          <a:ext cx="11811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Total profit</a:t>
          </a:r>
        </a:p>
      </xdr:txBody>
    </xdr:sp>
    <xdr:clientData/>
  </xdr:twoCellAnchor>
  <xdr:twoCellAnchor editAs="oneCell">
    <xdr:from>
      <xdr:col>4</xdr:col>
      <xdr:colOff>281940</xdr:colOff>
      <xdr:row>5</xdr:row>
      <xdr:rowOff>106680</xdr:rowOff>
    </xdr:from>
    <xdr:to>
      <xdr:col>5</xdr:col>
      <xdr:colOff>182880</xdr:colOff>
      <xdr:row>8</xdr:row>
      <xdr:rowOff>152400</xdr:rowOff>
    </xdr:to>
    <xdr:pic>
      <xdr:nvPicPr>
        <xdr:cNvPr id="32" name="Picture 31" descr="Profit Generic Blue icon | Freepik">
          <a:extLst>
            <a:ext uri="{FF2B5EF4-FFF2-40B4-BE49-F238E27FC236}">
              <a16:creationId xmlns:a16="http://schemas.microsoft.com/office/drawing/2014/main" id="{A44F14AE-C673-4FC6-92ED-6DD2BC8A6CE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64180" y="98298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601980</xdr:colOff>
      <xdr:row>6</xdr:row>
      <xdr:rowOff>106680</xdr:rowOff>
    </xdr:from>
    <xdr:to>
      <xdr:col>4</xdr:col>
      <xdr:colOff>182880</xdr:colOff>
      <xdr:row>8</xdr:row>
      <xdr:rowOff>30480</xdr:rowOff>
    </xdr:to>
    <xdr:sp macro="" textlink="pivotable!A11">
      <xdr:nvSpPr>
        <xdr:cNvPr id="33" name="TextBox 32">
          <a:extLst>
            <a:ext uri="{FF2B5EF4-FFF2-40B4-BE49-F238E27FC236}">
              <a16:creationId xmlns:a16="http://schemas.microsoft.com/office/drawing/2014/main" id="{F4E5AA3A-8DB3-4ABC-BF68-CB3E2188D1BF}"/>
            </a:ext>
          </a:extLst>
        </xdr:cNvPr>
        <xdr:cNvSpPr txBox="1"/>
      </xdr:nvSpPr>
      <xdr:spPr>
        <a:xfrm>
          <a:off x="1943100" y="1158240"/>
          <a:ext cx="9220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275B6B-1FF4-4D8A-AE50-DBF72B38C74D}" type="TxLink">
            <a:rPr lang="en-US" sz="1200" b="1" i="0" u="none" strike="noStrike">
              <a:solidFill>
                <a:srgbClr val="000000"/>
              </a:solidFill>
              <a:latin typeface="Times New Roman" panose="02020603050405020304" pitchFamily="18" charset="0"/>
              <a:cs typeface="Times New Roman" panose="02020603050405020304" pitchFamily="18" charset="0"/>
            </a:rPr>
            <a:pPr/>
            <a:t> $108,661 </a:t>
          </a:fld>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5</xdr:col>
      <xdr:colOff>144780</xdr:colOff>
      <xdr:row>6</xdr:row>
      <xdr:rowOff>137160</xdr:rowOff>
    </xdr:from>
    <xdr:to>
      <xdr:col>6</xdr:col>
      <xdr:colOff>518160</xdr:colOff>
      <xdr:row>8</xdr:row>
      <xdr:rowOff>0</xdr:rowOff>
    </xdr:to>
    <xdr:sp macro="" textlink="pivotable!A12">
      <xdr:nvSpPr>
        <xdr:cNvPr id="34" name="TextBox 33">
          <a:extLst>
            <a:ext uri="{FF2B5EF4-FFF2-40B4-BE49-F238E27FC236}">
              <a16:creationId xmlns:a16="http://schemas.microsoft.com/office/drawing/2014/main" id="{AEB14451-169F-4B34-95F4-82C74010C17A}"/>
            </a:ext>
          </a:extLst>
        </xdr:cNvPr>
        <xdr:cNvSpPr txBox="1"/>
      </xdr:nvSpPr>
      <xdr:spPr>
        <a:xfrm>
          <a:off x="3497580" y="1188720"/>
          <a:ext cx="10439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FE88E7-287C-4307-983F-78DB0E981956}" type="TxLink">
            <a:rPr lang="en-US" sz="1200" b="1" i="0" u="none" strike="noStrike">
              <a:solidFill>
                <a:srgbClr val="000000"/>
              </a:solidFill>
              <a:latin typeface="Times New Roman" panose="02020603050405020304" pitchFamily="18" charset="0"/>
              <a:cs typeface="Times New Roman" panose="02020603050405020304" pitchFamily="18" charset="0"/>
            </a:rPr>
            <a:pPr/>
            <a:t> $13,895 </a:t>
          </a:fld>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1</xdr:col>
      <xdr:colOff>556260</xdr:colOff>
      <xdr:row>10</xdr:row>
      <xdr:rowOff>60960</xdr:rowOff>
    </xdr:from>
    <xdr:to>
      <xdr:col>6</xdr:col>
      <xdr:colOff>487680</xdr:colOff>
      <xdr:row>21</xdr:row>
      <xdr:rowOff>38100</xdr:rowOff>
    </xdr:to>
    <xdr:graphicFrame macro="">
      <xdr:nvGraphicFramePr>
        <xdr:cNvPr id="35" name="Chart 34">
          <a:extLst>
            <a:ext uri="{FF2B5EF4-FFF2-40B4-BE49-F238E27FC236}">
              <a16:creationId xmlns:a16="http://schemas.microsoft.com/office/drawing/2014/main" id="{427BF0BE-D5A7-4A63-B9B3-282045788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45720</xdr:colOff>
      <xdr:row>4</xdr:row>
      <xdr:rowOff>91440</xdr:rowOff>
    </xdr:from>
    <xdr:to>
      <xdr:col>10</xdr:col>
      <xdr:colOff>30480</xdr:colOff>
      <xdr:row>23</xdr:row>
      <xdr:rowOff>83820</xdr:rowOff>
    </xdr:to>
    <xdr:graphicFrame macro="">
      <xdr:nvGraphicFramePr>
        <xdr:cNvPr id="37" name="Chart 36">
          <a:extLst>
            <a:ext uri="{FF2B5EF4-FFF2-40B4-BE49-F238E27FC236}">
              <a16:creationId xmlns:a16="http://schemas.microsoft.com/office/drawing/2014/main" id="{49CDD07C-C57D-489D-8F16-C1A8C697F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205740</xdr:colOff>
      <xdr:row>4</xdr:row>
      <xdr:rowOff>76200</xdr:rowOff>
    </xdr:from>
    <xdr:to>
      <xdr:col>15</xdr:col>
      <xdr:colOff>213360</xdr:colOff>
      <xdr:row>13</xdr:row>
      <xdr:rowOff>22860</xdr:rowOff>
    </xdr:to>
    <xdr:graphicFrame macro="">
      <xdr:nvGraphicFramePr>
        <xdr:cNvPr id="38" name="Chart 37">
          <a:extLst>
            <a:ext uri="{FF2B5EF4-FFF2-40B4-BE49-F238E27FC236}">
              <a16:creationId xmlns:a16="http://schemas.microsoft.com/office/drawing/2014/main" id="{599F67CF-BAAE-426F-B8BB-C346F65AC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213360</xdr:colOff>
      <xdr:row>14</xdr:row>
      <xdr:rowOff>15240</xdr:rowOff>
    </xdr:from>
    <xdr:to>
      <xdr:col>15</xdr:col>
      <xdr:colOff>175260</xdr:colOff>
      <xdr:row>23</xdr:row>
      <xdr:rowOff>121920</xdr:rowOff>
    </xdr:to>
    <xdr:graphicFrame macro="">
      <xdr:nvGraphicFramePr>
        <xdr:cNvPr id="26" name="Chart 25">
          <a:extLst>
            <a:ext uri="{FF2B5EF4-FFF2-40B4-BE49-F238E27FC236}">
              <a16:creationId xmlns:a16="http://schemas.microsoft.com/office/drawing/2014/main" id="{CC806712-4551-4F22-9204-E269540B8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533400</xdr:colOff>
      <xdr:row>21</xdr:row>
      <xdr:rowOff>160020</xdr:rowOff>
    </xdr:from>
    <xdr:to>
      <xdr:col>6</xdr:col>
      <xdr:colOff>525780</xdr:colOff>
      <xdr:row>33</xdr:row>
      <xdr:rowOff>106680</xdr:rowOff>
    </xdr:to>
    <xdr:graphicFrame macro="">
      <xdr:nvGraphicFramePr>
        <xdr:cNvPr id="29" name="Chart 28">
          <a:extLst>
            <a:ext uri="{FF2B5EF4-FFF2-40B4-BE49-F238E27FC236}">
              <a16:creationId xmlns:a16="http://schemas.microsoft.com/office/drawing/2014/main" id="{ACF44B26-1776-456C-AE1D-D609FB218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76200</xdr:colOff>
      <xdr:row>24</xdr:row>
      <xdr:rowOff>30480</xdr:rowOff>
    </xdr:from>
    <xdr:to>
      <xdr:col>15</xdr:col>
      <xdr:colOff>335280</xdr:colOff>
      <xdr:row>33</xdr:row>
      <xdr:rowOff>137160</xdr:rowOff>
    </xdr:to>
    <xdr:graphicFrame macro="">
      <xdr:nvGraphicFramePr>
        <xdr:cNvPr id="30" name="Chart 29">
          <a:extLst>
            <a:ext uri="{FF2B5EF4-FFF2-40B4-BE49-F238E27FC236}">
              <a16:creationId xmlns:a16="http://schemas.microsoft.com/office/drawing/2014/main" id="{60DFC83D-F094-454C-9CD5-36CDD78F0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68580</xdr:colOff>
      <xdr:row>4</xdr:row>
      <xdr:rowOff>167640</xdr:rowOff>
    </xdr:from>
    <xdr:to>
      <xdr:col>1</xdr:col>
      <xdr:colOff>480060</xdr:colOff>
      <xdr:row>11</xdr:row>
      <xdr:rowOff>114300</xdr:rowOff>
    </xdr:to>
    <mc:AlternateContent xmlns:mc="http://schemas.openxmlformats.org/markup-compatibility/2006">
      <mc:Choice xmlns:a14="http://schemas.microsoft.com/office/drawing/2010/main" Requires="a14">
        <xdr:graphicFrame macro="">
          <xdr:nvGraphicFramePr>
            <xdr:cNvPr id="36" name="Category">
              <a:extLst>
                <a:ext uri="{FF2B5EF4-FFF2-40B4-BE49-F238E27FC236}">
                  <a16:creationId xmlns:a16="http://schemas.microsoft.com/office/drawing/2014/main" id="{01B883F5-FBCD-4794-90E4-974D94C808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580" y="876477"/>
              <a:ext cx="1084875" cy="1187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12</xdr:row>
      <xdr:rowOff>106681</xdr:rowOff>
    </xdr:from>
    <xdr:to>
      <xdr:col>1</xdr:col>
      <xdr:colOff>518160</xdr:colOff>
      <xdr:row>20</xdr:row>
      <xdr:rowOff>129540</xdr:rowOff>
    </xdr:to>
    <mc:AlternateContent xmlns:mc="http://schemas.openxmlformats.org/markup-compatibility/2006">
      <mc:Choice xmlns:a14="http://schemas.microsoft.com/office/drawing/2010/main" Requires="a14">
        <xdr:graphicFrame macro="">
          <xdr:nvGraphicFramePr>
            <xdr:cNvPr id="40" name="Year">
              <a:extLst>
                <a:ext uri="{FF2B5EF4-FFF2-40B4-BE49-F238E27FC236}">
                  <a16:creationId xmlns:a16="http://schemas.microsoft.com/office/drawing/2014/main" id="{78E626A7-6306-4E45-B0DA-D3BB52C692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100" y="2233193"/>
              <a:ext cx="1153455" cy="1440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43610</xdr:colOff>
      <xdr:row>21</xdr:row>
      <xdr:rowOff>99061</xdr:rowOff>
    </xdr:from>
    <xdr:to>
      <xdr:col>1</xdr:col>
      <xdr:colOff>487680</xdr:colOff>
      <xdr:row>32</xdr:row>
      <xdr:rowOff>167640</xdr:rowOff>
    </xdr:to>
    <mc:AlternateContent xmlns:mc="http://schemas.openxmlformats.org/markup-compatibility/2006">
      <mc:Choice xmlns:a14="http://schemas.microsoft.com/office/drawing/2010/main" Requires="a14">
        <xdr:graphicFrame macro="">
          <xdr:nvGraphicFramePr>
            <xdr:cNvPr id="41" name="Month">
              <a:extLst>
                <a:ext uri="{FF2B5EF4-FFF2-40B4-BE49-F238E27FC236}">
                  <a16:creationId xmlns:a16="http://schemas.microsoft.com/office/drawing/2014/main" id="{457B5A7F-2EFC-4D9C-B6A1-D3C4518C527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3610" y="3820456"/>
              <a:ext cx="1117465" cy="2017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8.395058912036" createdVersion="6" refreshedVersion="6" minRefreshableVersion="3" recordCount="2319" xr:uid="{050DEBE7-9EBD-4C91-A16D-1C7A2D1A4861}">
  <cacheSource type="worksheet">
    <worksheetSource ref="P4:Q2323" sheet="pivo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9.419859837966" createdVersion="6" refreshedVersion="6" minRefreshableVersion="3" recordCount="8314" xr:uid="{90A42A52-B816-4D1E-AA7A-2ECB8E98B6CE}">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082533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236FA9-5AA5-453C-A6DE-8D833319514B}" name="PivotTable8"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E6:AF10" firstHeaderRow="1" firstDataRow="1" firstDataCol="1"/>
  <pivotFields count="11">
    <pivotField showAll="0"/>
    <pivotField showAll="0"/>
    <pivotField showAll="0"/>
    <pivotField showAll="0">
      <items count="4">
        <item x="1"/>
        <item x="0"/>
        <item h="1" x="2"/>
        <item t="default"/>
      </items>
    </pivotField>
    <pivotField showAll="0"/>
    <pivotField showAll="0"/>
    <pivotField dataField="1" showAll="0"/>
    <pivotField showAll="0"/>
    <pivotField showAll="0"/>
    <pivotField axis="axisRow" showAll="0">
      <items count="13">
        <item x="0"/>
        <item h="1" x="1"/>
        <item h="1" x="2"/>
        <item h="1" x="3"/>
        <item h="1" x="4"/>
        <item x="5"/>
        <item h="1" x="6"/>
        <item x="7"/>
        <item x="8"/>
        <item x="9"/>
        <item h="1" x="10"/>
        <item x="11"/>
        <item t="default"/>
      </items>
    </pivotField>
    <pivotField showAll="0">
      <items count="5">
        <item h="1" x="0"/>
        <item h="1" x="1"/>
        <item h="1" x="2"/>
        <item x="3"/>
        <item t="default"/>
      </items>
    </pivotField>
  </pivotFields>
  <rowFields count="1">
    <field x="9"/>
  </rowFields>
  <rowItems count="4">
    <i>
      <x/>
    </i>
    <i>
      <x v="5"/>
    </i>
    <i>
      <x v="7"/>
    </i>
    <i t="grand">
      <x/>
    </i>
  </rowItems>
  <colItems count="1">
    <i/>
  </colItems>
  <dataFields count="1">
    <dataField name="Sum of Sales" fld="6" baseField="0" baseItem="0" numFmtId="164"/>
  </dataFields>
  <formats count="1">
    <format dxfId="36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99894A-3C8E-4A08-BD34-116F0A95F1F1}" name="PivotTable7"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B6:AC12"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h="1" x="2"/>
        <item t="default"/>
      </items>
    </pivotField>
    <pivotField showAll="0"/>
    <pivotField showAll="0"/>
    <pivotField showAll="0"/>
    <pivotField showAll="0"/>
    <pivotField dataField="1" showAll="0"/>
    <pivotField showAll="0">
      <items count="13">
        <item x="0"/>
        <item h="1" x="1"/>
        <item h="1" x="2"/>
        <item h="1" x="3"/>
        <item h="1" x="4"/>
        <item x="5"/>
        <item h="1" x="6"/>
        <item x="7"/>
        <item x="8"/>
        <item x="9"/>
        <item h="1" x="10"/>
        <item x="11"/>
        <item t="default"/>
      </items>
    </pivotField>
    <pivotField showAll="0">
      <items count="5">
        <item h="1" x="0"/>
        <item h="1" x="1"/>
        <item h="1" x="2"/>
        <item x="3"/>
        <item t="default"/>
      </items>
    </pivotField>
  </pivotFields>
  <rowFields count="1">
    <field x="1"/>
  </rowFields>
  <rowItems count="6">
    <i>
      <x v="35"/>
    </i>
    <i>
      <x v="600"/>
    </i>
    <i>
      <x v="325"/>
    </i>
    <i>
      <x v="785"/>
    </i>
    <i>
      <x v="631"/>
    </i>
    <i t="grand">
      <x/>
    </i>
  </rowItems>
  <colItems count="1">
    <i/>
  </colItems>
  <dataFields count="1">
    <dataField name="Sum of Profit" fld="8" baseField="0" baseItem="0" numFmtId="164"/>
  </dataFields>
  <formats count="1">
    <format dxfId="36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DA923-A6EE-4B7D-A5BB-015178F198EB}"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J18" firstHeaderRow="1" firstDataRow="1" firstDataCol="1"/>
  <pivotFields count="11">
    <pivotField showAll="0"/>
    <pivotField showAll="0"/>
    <pivotField showAll="0"/>
    <pivotField showAll="0">
      <items count="4">
        <item x="1"/>
        <item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h="1" x="1"/>
        <item h="1" x="2"/>
        <item h="1" x="3"/>
        <item h="1" x="4"/>
        <item x="5"/>
        <item h="1" x="6"/>
        <item x="7"/>
        <item x="8"/>
        <item x="9"/>
        <item h="1" x="10"/>
        <item x="11"/>
        <item t="default"/>
      </items>
    </pivotField>
    <pivotField showAll="0">
      <items count="5">
        <item h="1" x="0"/>
        <item h="1" x="1"/>
        <item h="1" x="2"/>
        <item x="3"/>
        <item t="default"/>
      </items>
    </pivotField>
  </pivotFields>
  <rowFields count="1">
    <field x="4"/>
  </rowFields>
  <rowItems count="14">
    <i>
      <x v="3"/>
    </i>
    <i>
      <x v="5"/>
    </i>
    <i>
      <x v="14"/>
    </i>
    <i>
      <x v="1"/>
    </i>
    <i>
      <x v="16"/>
    </i>
    <i>
      <x v="4"/>
    </i>
    <i>
      <x v="12"/>
    </i>
    <i>
      <x v="15"/>
    </i>
    <i>
      <x v="9"/>
    </i>
    <i>
      <x v="2"/>
    </i>
    <i>
      <x v="10"/>
    </i>
    <i>
      <x v="7"/>
    </i>
    <i>
      <x v="8"/>
    </i>
    <i t="grand">
      <x/>
    </i>
  </rowItems>
  <colItems count="1">
    <i/>
  </colItems>
  <dataFields count="1">
    <dataField name="Sum of Sales" fld="6" baseField="0" baseItem="0" numFmtId="164"/>
  </dataFields>
  <formats count="1">
    <format dxfId="3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551C3-756E-4DC2-AF01-1F51FC58CEF1}"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11">
    <pivotField showAll="0"/>
    <pivotField showAll="0"/>
    <pivotField showAll="0"/>
    <pivotField showAll="0">
      <items count="4">
        <item x="1"/>
        <item x="0"/>
        <item h="1" x="2"/>
        <item t="default"/>
      </items>
    </pivotField>
    <pivotField showAll="0"/>
    <pivotField showAll="0"/>
    <pivotField showAll="0"/>
    <pivotField showAll="0"/>
    <pivotField dataField="1" showAll="0"/>
    <pivotField showAll="0">
      <items count="13">
        <item x="0"/>
        <item h="1" x="1"/>
        <item h="1" x="2"/>
        <item h="1" x="3"/>
        <item h="1" x="4"/>
        <item x="5"/>
        <item h="1" x="6"/>
        <item x="7"/>
        <item x="8"/>
        <item x="9"/>
        <item h="1" x="10"/>
        <item x="11"/>
        <item t="default"/>
      </items>
    </pivotField>
    <pivotField showAll="0">
      <items count="5">
        <item h="1" x="0"/>
        <item h="1" x="1"/>
        <item h="1" x="2"/>
        <item x="3"/>
        <item t="default"/>
      </items>
    </pivotField>
  </pivotFields>
  <rowItems count="1">
    <i/>
  </rowItems>
  <colItems count="1">
    <i/>
  </colItems>
  <dataFields count="1">
    <dataField name="Sum of Profit" fld="8" baseField="0" baseItem="0" numFmtId="164"/>
  </dataFields>
  <formats count="1">
    <format dxfId="3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38DE7A-9469-4E46-9595-3560A188675A}"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3:F6" firstHeaderRow="1" firstDataRow="2" firstDataCol="1"/>
  <pivotFields count="11">
    <pivotField showAll="0"/>
    <pivotField showAll="0"/>
    <pivotField showAll="0"/>
    <pivotField axis="axisCol" showAll="0">
      <items count="4">
        <item x="1"/>
        <item x="0"/>
        <item h="1" x="2"/>
        <item t="default"/>
      </items>
    </pivotField>
    <pivotField showAll="0"/>
    <pivotField showAll="0"/>
    <pivotField showAll="0"/>
    <pivotField showAll="0"/>
    <pivotField dataField="1" showAll="0"/>
    <pivotField showAll="0">
      <items count="13">
        <item x="0"/>
        <item h="1" x="1"/>
        <item h="1" x="2"/>
        <item h="1" x="3"/>
        <item h="1" x="4"/>
        <item x="5"/>
        <item h="1" x="6"/>
        <item x="7"/>
        <item x="8"/>
        <item x="9"/>
        <item h="1" x="10"/>
        <item x="11"/>
        <item t="default"/>
      </items>
    </pivotField>
    <pivotField axis="axisRow" showAll="0">
      <items count="5">
        <item h="1" x="0"/>
        <item h="1" x="1"/>
        <item h="1" x="2"/>
        <item x="3"/>
        <item t="default"/>
      </items>
    </pivotField>
  </pivotFields>
  <rowFields count="1">
    <field x="10"/>
  </rowFields>
  <rowItems count="2">
    <i>
      <x v="3"/>
    </i>
    <i t="grand">
      <x/>
    </i>
  </rowItems>
  <colFields count="1">
    <field x="3"/>
  </colFields>
  <colItems count="3">
    <i>
      <x/>
    </i>
    <i>
      <x v="1"/>
    </i>
    <i t="grand">
      <x/>
    </i>
  </colItems>
  <dataFields count="1">
    <dataField name="Sum of Profit" fld="8" baseField="0" baseItem="0" numFmtId="164"/>
  </dataFields>
  <formats count="1">
    <format dxfId="369">
      <pivotArea outline="0" collapsedLevelsAreSubtotals="1" fieldPosition="0"/>
    </format>
  </format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3BFA3B-E022-418A-859F-4962298DC83B}"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V6:W48"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h="1" x="2"/>
        <item t="default"/>
      </items>
    </pivotField>
    <pivotField showAll="0"/>
    <pivotField showAll="0"/>
    <pivotField dataField="1" showAll="0"/>
    <pivotField showAll="0"/>
    <pivotField showAll="0"/>
    <pivotField showAll="0">
      <items count="13">
        <item x="0"/>
        <item h="1" x="1"/>
        <item h="1" x="2"/>
        <item h="1" x="3"/>
        <item h="1" x="4"/>
        <item x="5"/>
        <item h="1" x="6"/>
        <item x="7"/>
        <item x="8"/>
        <item x="9"/>
        <item h="1" x="10"/>
        <item x="11"/>
        <item t="default"/>
      </items>
    </pivotField>
    <pivotField showAll="0">
      <items count="5">
        <item h="1" x="0"/>
        <item h="1" x="1"/>
        <item h="1" x="2"/>
        <item x="3"/>
        <item t="default"/>
      </items>
    </pivotField>
  </pivotFields>
  <rowFields count="1">
    <field x="2"/>
  </rowFields>
  <rowItems count="42">
    <i>
      <x/>
    </i>
    <i>
      <x v="1"/>
    </i>
    <i>
      <x v="2"/>
    </i>
    <i>
      <x v="3"/>
    </i>
    <i>
      <x v="4"/>
    </i>
    <i>
      <x v="5"/>
    </i>
    <i>
      <x v="7"/>
    </i>
    <i>
      <x v="8"/>
    </i>
    <i>
      <x v="9"/>
    </i>
    <i>
      <x v="11"/>
    </i>
    <i>
      <x v="12"/>
    </i>
    <i>
      <x v="13"/>
    </i>
    <i>
      <x v="14"/>
    </i>
    <i>
      <x v="15"/>
    </i>
    <i>
      <x v="16"/>
    </i>
    <i>
      <x v="18"/>
    </i>
    <i>
      <x v="19"/>
    </i>
    <i>
      <x v="20"/>
    </i>
    <i>
      <x v="21"/>
    </i>
    <i>
      <x v="22"/>
    </i>
    <i>
      <x v="23"/>
    </i>
    <i>
      <x v="24"/>
    </i>
    <i>
      <x v="25"/>
    </i>
    <i>
      <x v="26"/>
    </i>
    <i>
      <x v="27"/>
    </i>
    <i>
      <x v="28"/>
    </i>
    <i>
      <x v="29"/>
    </i>
    <i>
      <x v="30"/>
    </i>
    <i>
      <x v="31"/>
    </i>
    <i>
      <x v="33"/>
    </i>
    <i>
      <x v="35"/>
    </i>
    <i>
      <x v="36"/>
    </i>
    <i>
      <x v="37"/>
    </i>
    <i>
      <x v="40"/>
    </i>
    <i>
      <x v="41"/>
    </i>
    <i>
      <x v="42"/>
    </i>
    <i>
      <x v="43"/>
    </i>
    <i>
      <x v="44"/>
    </i>
    <i>
      <x v="45"/>
    </i>
    <i>
      <x v="46"/>
    </i>
    <i>
      <x v="47"/>
    </i>
    <i t="grand">
      <x/>
    </i>
  </rowItems>
  <colItems count="1">
    <i/>
  </colItems>
  <dataFields count="1">
    <dataField name="Sum of Sales" fld="6" baseField="0" baseItem="0" numFmtId="164"/>
  </dataFields>
  <formats count="1">
    <format dxfId="37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D01F75-BEAF-430D-9489-005AFEA9C20E}"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11">
    <pivotField showAll="0"/>
    <pivotField showAll="0"/>
    <pivotField showAll="0"/>
    <pivotField showAll="0">
      <items count="4">
        <item x="1"/>
        <item x="0"/>
        <item h="1" x="2"/>
        <item t="default"/>
      </items>
    </pivotField>
    <pivotField showAll="0"/>
    <pivotField showAll="0"/>
    <pivotField dataField="1" showAll="0"/>
    <pivotField showAll="0"/>
    <pivotField showAll="0"/>
    <pivotField showAll="0">
      <items count="13">
        <item x="0"/>
        <item h="1" x="1"/>
        <item h="1" x="2"/>
        <item h="1" x="3"/>
        <item h="1" x="4"/>
        <item x="5"/>
        <item h="1" x="6"/>
        <item x="7"/>
        <item x="8"/>
        <item x="9"/>
        <item h="1" x="10"/>
        <item x="11"/>
        <item t="default"/>
      </items>
    </pivotField>
    <pivotField showAll="0">
      <items count="5">
        <item h="1" x="0"/>
        <item h="1" x="1"/>
        <item h="1" x="2"/>
        <item x="3"/>
        <item t="default"/>
      </items>
    </pivotField>
  </pivotFields>
  <rowItems count="1">
    <i/>
  </rowItems>
  <colItems count="1">
    <i/>
  </colItems>
  <dataFields count="1">
    <dataField name="Sum of Sales" fld="6" baseField="0" baseItem="0" numFmtId="164"/>
  </dataFields>
  <formats count="1">
    <format dxfId="3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0AF561-AFE5-4D8B-A505-7E07041B9BA4}"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S5:T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F80304-ADAE-4EAA-A4E2-9BF4D46E63A9}"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082533404">
      <items count="3">
        <i x="1" s="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21CBC0-B6F9-400E-AC3B-E2D350587E29}"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082533404">
      <items count="4">
        <i x="0"/>
        <i x="1"/>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83067DE-496F-476E-9F59-954233225BAC}"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082533404">
      <items count="12">
        <i x="0" s="1"/>
        <i x="1"/>
        <i x="2"/>
        <i x="3"/>
        <i x="4"/>
        <i x="5" s="1"/>
        <i x="6"/>
        <i x="7" s="1"/>
        <i x="8" s="1" nd="1"/>
        <i x="9" s="1" nd="1"/>
        <i x="10"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C949374-22F9-4BBF-A83F-22A58A32A73E}" cache="Slicer_Category" caption="Category" style="SlicerStyleDark1" rowHeight="234950"/>
  <slicer name="Year" xr10:uid="{98965424-CFCD-4006-9E3E-3A07FDB26B45}" cache="Slicer_Year" caption="Year" style="SlicerStyleDark1" rowHeight="234950"/>
  <slicer name="Month" xr10:uid="{8D4538E1-CAAC-45CC-ADFF-E057F624BF9A}" cache="Slicer_Month" caption="Month"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3DCC2-4764-4F3E-986B-4FE87D298ACA}" name="Table1" displayName="Table1" ref="A1:K8315" totalsRowShown="0">
  <autoFilter ref="A1:K8315" xr:uid="{CD7E387D-2ECA-40DC-BB3A-35D98D0B3BE5}"/>
  <tableColumns count="11">
    <tableColumn id="1" xr3:uid="{A79A1973-3A0B-4077-905E-F986D8D1ADC6}" name="Order Date"/>
    <tableColumn id="2" xr3:uid="{403F14DB-38B8-4911-A3C3-B0DD7B80F57B}" name="Customer Name"/>
    <tableColumn id="3" xr3:uid="{457C1D50-90EA-4F54-B655-19EBCFA2D8A2}" name="State"/>
    <tableColumn id="4" xr3:uid="{9523EEE6-1260-411A-A065-B0B938D3D9A4}" name="Category"/>
    <tableColumn id="5" xr3:uid="{F9DB2727-DDA9-4482-A081-D46B479E6440}" name="Sub-Category"/>
    <tableColumn id="6" xr3:uid="{321B369A-6A17-4B17-86F1-3163E6CE613F}" name="Product Name"/>
    <tableColumn id="7" xr3:uid="{86576FBA-9A53-4C8D-A38B-9A181FACBE09}" name="Sales"/>
    <tableColumn id="8" xr3:uid="{A4E0E129-7B7F-4FFE-9048-7AE890CBE011}" name="Quantity"/>
    <tableColumn id="9" xr3:uid="{55B9A293-5DF0-4FA1-B1F7-CEFCFEAFF6B1}" name="Profit"/>
    <tableColumn id="10" xr3:uid="{E07ADF51-25DA-426D-9674-CE500439A609}" name="Month"/>
    <tableColumn id="11" xr3:uid="{BA287AAE-0414-4D6E-9319-CFEE29F5665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80" zoomScaleNormal="80" workbookViewId="0">
      <pane ySplit="1" topLeftCell="A2" activePane="bottomLeft" state="frozen"/>
      <selection pane="bottomLeft" activeCell="O16" sqref="O16"/>
    </sheetView>
  </sheetViews>
  <sheetFormatPr defaultRowHeight="13.8"/>
  <cols>
    <col min="1" max="1" width="12.09765625" customWidth="1"/>
    <col min="2" max="2" width="20.296875" bestFit="1" customWidth="1"/>
    <col min="3" max="3" width="16.796875" bestFit="1" customWidth="1"/>
    <col min="4" max="4" width="13" bestFit="1" customWidth="1"/>
    <col min="5" max="5" width="14.59765625" customWidth="1"/>
    <col min="6" max="6" width="67.59765625" customWidth="1"/>
    <col min="7" max="7" width="8.796875" bestFit="1" customWidth="1"/>
    <col min="8" max="8" width="10" customWidth="1"/>
    <col min="9" max="9" width="8.5" bestFit="1" customWidth="1"/>
    <col min="10" max="10" width="8" customWidth="1"/>
    <col min="11" max="11" width="6.6992187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3695-1692-4D80-B990-FA3B5204B61D}">
  <dimension ref="A1:AF2323"/>
  <sheetViews>
    <sheetView topLeftCell="Z1" workbookViewId="0">
      <selection activeCell="AB30" sqref="AB30:AB31"/>
    </sheetView>
  </sheetViews>
  <sheetFormatPr defaultRowHeight="13.8"/>
  <cols>
    <col min="1" max="1" width="12.296875" bestFit="1" customWidth="1"/>
    <col min="2" max="2" width="12.09765625" customWidth="1"/>
    <col min="3" max="3" width="13.09765625" bestFit="1" customWidth="1"/>
    <col min="4" max="4" width="16.09765625" bestFit="1" customWidth="1"/>
    <col min="5" max="5" width="14.296875" bestFit="1" customWidth="1"/>
    <col min="6" max="7" width="11" bestFit="1" customWidth="1"/>
    <col min="9" max="9" width="13.09765625" bestFit="1" customWidth="1"/>
    <col min="10" max="11" width="12.3984375" bestFit="1" customWidth="1"/>
    <col min="12" max="12" width="12.59765625" customWidth="1"/>
    <col min="13" max="13" width="13.69921875" bestFit="1" customWidth="1"/>
    <col min="16" max="16" width="20.296875" bestFit="1" customWidth="1"/>
    <col min="17" max="17" width="6.69921875" customWidth="1"/>
    <col min="19" max="19" width="13.09765625" bestFit="1" customWidth="1"/>
    <col min="20" max="20" width="23.296875" bestFit="1" customWidth="1"/>
    <col min="22" max="22" width="16.5" bestFit="1" customWidth="1"/>
    <col min="23" max="23" width="12.3984375" bestFit="1" customWidth="1"/>
    <col min="25" max="25" width="12.796875" customWidth="1"/>
    <col min="26" max="26" width="13.19921875" customWidth="1"/>
    <col min="27" max="27" width="10.296875" customWidth="1"/>
    <col min="28" max="28" width="15.69921875" bestFit="1" customWidth="1"/>
    <col min="29" max="29" width="12.296875" bestFit="1" customWidth="1"/>
    <col min="31" max="31" width="13.09765625" bestFit="1" customWidth="1"/>
    <col min="32" max="32" width="12.3984375" bestFit="1" customWidth="1"/>
  </cols>
  <sheetData>
    <row r="1" spans="1:32">
      <c r="A1" s="8" t="s">
        <v>2715</v>
      </c>
    </row>
    <row r="2" spans="1:32">
      <c r="A2" t="s">
        <v>2710</v>
      </c>
      <c r="C2" s="8" t="s">
        <v>2712</v>
      </c>
      <c r="D2" s="8"/>
      <c r="E2" s="8"/>
      <c r="F2" s="8"/>
      <c r="G2" s="8"/>
    </row>
    <row r="3" spans="1:32">
      <c r="A3" s="6">
        <v>108660.62999999999</v>
      </c>
      <c r="C3" s="2" t="s">
        <v>2711</v>
      </c>
      <c r="D3" s="2" t="s">
        <v>2725</v>
      </c>
      <c r="I3" s="8" t="s">
        <v>2717</v>
      </c>
      <c r="J3" s="8"/>
      <c r="L3" s="8" t="s">
        <v>2718</v>
      </c>
      <c r="M3" s="8"/>
    </row>
    <row r="4" spans="1:32">
      <c r="C4" s="2" t="s">
        <v>2713</v>
      </c>
      <c r="D4" t="s">
        <v>36</v>
      </c>
      <c r="E4" t="s">
        <v>13</v>
      </c>
      <c r="F4" t="s">
        <v>2714</v>
      </c>
      <c r="I4" s="2" t="s">
        <v>2713</v>
      </c>
      <c r="J4" t="s">
        <v>2710</v>
      </c>
      <c r="L4" s="5" t="str">
        <f>I5</f>
        <v>Binders</v>
      </c>
      <c r="M4" s="7" t="e">
        <f>GETPIVOTDATA("Sales",$I$4,"Sub-Category","Phones")</f>
        <v>#REF!</v>
      </c>
      <c r="P4" s="8" t="s">
        <v>1</v>
      </c>
      <c r="Q4" s="8" t="s">
        <v>10</v>
      </c>
      <c r="S4" s="8" t="s">
        <v>2719</v>
      </c>
      <c r="T4" s="8"/>
    </row>
    <row r="5" spans="1:32">
      <c r="C5" s="3">
        <v>2024</v>
      </c>
      <c r="D5" s="6">
        <v>1187.8099999999995</v>
      </c>
      <c r="E5" s="6">
        <v>12707.369999999992</v>
      </c>
      <c r="F5" s="6">
        <v>13895.179999999991</v>
      </c>
      <c r="I5" s="3" t="s">
        <v>22</v>
      </c>
      <c r="J5" s="6">
        <v>24737.090000000004</v>
      </c>
      <c r="L5" s="5" t="str">
        <f t="shared" ref="L5:L21" si="0">I6</f>
        <v>Chairs</v>
      </c>
      <c r="M5" s="7">
        <f>GETPIVOTDATA("Sales",$I$4,"Sub-Category","Chairs")</f>
        <v>20162.169999999995</v>
      </c>
      <c r="P5" t="s">
        <v>11</v>
      </c>
      <c r="Q5">
        <v>2021</v>
      </c>
      <c r="S5" s="2" t="s">
        <v>2713</v>
      </c>
      <c r="T5" t="s">
        <v>2720</v>
      </c>
      <c r="V5" s="8" t="s">
        <v>2721</v>
      </c>
      <c r="W5" s="8"/>
      <c r="AB5" s="8" t="s">
        <v>2723</v>
      </c>
      <c r="AC5" s="8"/>
      <c r="AD5" s="4"/>
      <c r="AE5" s="8" t="s">
        <v>2724</v>
      </c>
      <c r="AF5" s="8"/>
    </row>
    <row r="6" spans="1:32">
      <c r="C6" s="3" t="s">
        <v>2714</v>
      </c>
      <c r="D6" s="6">
        <v>1187.8099999999995</v>
      </c>
      <c r="E6" s="6">
        <v>12707.369999999992</v>
      </c>
      <c r="F6" s="6">
        <v>13895.179999999991</v>
      </c>
      <c r="I6" s="3" t="s">
        <v>37</v>
      </c>
      <c r="J6" s="6">
        <v>20162.169999999995</v>
      </c>
      <c r="L6" s="5" t="str">
        <f t="shared" si="0"/>
        <v>Storage</v>
      </c>
      <c r="M6" s="7">
        <f>GETPIVOTDATA("Sales",$I$4,"Sub-Category","Storage")</f>
        <v>17465.43</v>
      </c>
      <c r="P6" t="s">
        <v>16</v>
      </c>
      <c r="Q6">
        <v>2021</v>
      </c>
      <c r="S6" s="3">
        <v>2021</v>
      </c>
      <c r="T6" s="1">
        <v>595</v>
      </c>
      <c r="V6" s="2" t="s">
        <v>2713</v>
      </c>
      <c r="W6" t="s">
        <v>2710</v>
      </c>
      <c r="Y6" s="8" t="s">
        <v>2722</v>
      </c>
      <c r="Z6" s="8" t="s">
        <v>6</v>
      </c>
      <c r="AB6" s="2" t="s">
        <v>2713</v>
      </c>
      <c r="AC6" t="s">
        <v>2711</v>
      </c>
      <c r="AE6" s="2" t="s">
        <v>2713</v>
      </c>
      <c r="AF6" t="s">
        <v>2710</v>
      </c>
    </row>
    <row r="7" spans="1:32">
      <c r="A7" s="8" t="s">
        <v>2716</v>
      </c>
      <c r="I7" s="3" t="s">
        <v>20</v>
      </c>
      <c r="J7" s="6">
        <v>17465.43</v>
      </c>
      <c r="L7" s="5" t="str">
        <f t="shared" si="0"/>
        <v>Appliances</v>
      </c>
      <c r="M7" s="7">
        <f>GETPIVOTDATA("Sales",$I$4,"Sub-Category","Binders")</f>
        <v>24737.090000000004</v>
      </c>
      <c r="P7" t="s">
        <v>24</v>
      </c>
      <c r="Q7">
        <v>2021</v>
      </c>
      <c r="S7" s="3">
        <v>2022</v>
      </c>
      <c r="T7" s="1">
        <v>573</v>
      </c>
      <c r="V7" s="3" t="s">
        <v>490</v>
      </c>
      <c r="W7" s="6">
        <v>72.610000000000014</v>
      </c>
      <c r="Y7" t="str">
        <f>V7</f>
        <v>Alabama</v>
      </c>
      <c r="Z7" s="7">
        <f>W7</f>
        <v>72.610000000000014</v>
      </c>
      <c r="AB7" s="3" t="s">
        <v>1707</v>
      </c>
      <c r="AC7" s="6">
        <v>2602.0899999999997</v>
      </c>
      <c r="AE7" s="3" t="s">
        <v>2698</v>
      </c>
      <c r="AF7" s="6">
        <v>27238.330000000013</v>
      </c>
    </row>
    <row r="8" spans="1:32">
      <c r="A8" t="s">
        <v>2711</v>
      </c>
      <c r="I8" s="3" t="s">
        <v>94</v>
      </c>
      <c r="J8" s="6">
        <v>12812.33</v>
      </c>
      <c r="L8" s="5" t="str">
        <f t="shared" si="0"/>
        <v>Tables</v>
      </c>
      <c r="M8" s="7">
        <f>GETPIVOTDATA("Sales",$I$4,"Sub-Category","Tables")</f>
        <v>10372.609999999999</v>
      </c>
      <c r="P8" t="s">
        <v>28</v>
      </c>
      <c r="Q8">
        <v>2021</v>
      </c>
      <c r="S8" s="3">
        <v>2023</v>
      </c>
      <c r="T8" s="1">
        <v>638</v>
      </c>
      <c r="V8" s="3" t="s">
        <v>97</v>
      </c>
      <c r="W8" s="6">
        <v>1074.28</v>
      </c>
      <c r="Y8" t="str">
        <f t="shared" ref="Y8:Y12" si="1">V8</f>
        <v>Arizona</v>
      </c>
      <c r="Z8" s="7">
        <f t="shared" ref="Z8:Z12" si="2">W8</f>
        <v>1074.28</v>
      </c>
      <c r="AB8" s="3" t="s">
        <v>1595</v>
      </c>
      <c r="AC8" s="6">
        <v>1464.35</v>
      </c>
      <c r="AE8" s="3" t="s">
        <v>2703</v>
      </c>
      <c r="AF8" s="6">
        <v>35920.609999999979</v>
      </c>
    </row>
    <row r="9" spans="1:32">
      <c r="A9" s="6">
        <v>13895.179999999997</v>
      </c>
      <c r="I9" s="3" t="s">
        <v>147</v>
      </c>
      <c r="J9" s="6">
        <v>10372.609999999999</v>
      </c>
      <c r="L9" s="5" t="str">
        <f t="shared" si="0"/>
        <v>Bookcases</v>
      </c>
      <c r="M9" s="7" t="e">
        <f>GETPIVOTDATA("Sales",$I$4,"Sub-Category","Machines")</f>
        <v>#REF!</v>
      </c>
      <c r="P9" t="s">
        <v>31</v>
      </c>
      <c r="Q9">
        <v>2021</v>
      </c>
      <c r="S9" s="3">
        <v>2024</v>
      </c>
      <c r="T9" s="1">
        <v>513</v>
      </c>
      <c r="V9" s="3" t="s">
        <v>103</v>
      </c>
      <c r="W9" s="6">
        <v>117.62</v>
      </c>
      <c r="Y9" t="str">
        <f t="shared" si="1"/>
        <v>Arkansas</v>
      </c>
      <c r="Z9" s="7">
        <f t="shared" si="2"/>
        <v>117.62</v>
      </c>
      <c r="AB9" s="3" t="s">
        <v>2273</v>
      </c>
      <c r="AC9" s="6">
        <v>1341.66</v>
      </c>
      <c r="AE9" s="3" t="s">
        <v>2705</v>
      </c>
      <c r="AF9" s="6">
        <v>45501.69000000001</v>
      </c>
    </row>
    <row r="10" spans="1:32">
      <c r="I10" s="3" t="s">
        <v>76</v>
      </c>
      <c r="J10" s="6">
        <v>6067.0899999999992</v>
      </c>
      <c r="L10" s="5" t="str">
        <f t="shared" si="0"/>
        <v>Paper</v>
      </c>
      <c r="M10" s="7" t="e">
        <f>GETPIVOTDATA("Sales",$I$4,"Sub-Category","Accessories")</f>
        <v>#REF!</v>
      </c>
      <c r="P10" t="s">
        <v>34</v>
      </c>
      <c r="Q10">
        <v>2021</v>
      </c>
      <c r="S10" s="3" t="s">
        <v>2714</v>
      </c>
      <c r="T10" s="1">
        <v>2319</v>
      </c>
      <c r="V10" s="3" t="s">
        <v>29</v>
      </c>
      <c r="W10" s="6">
        <v>24219.759999999998</v>
      </c>
      <c r="Y10" t="str">
        <f t="shared" si="1"/>
        <v>California</v>
      </c>
      <c r="Z10" s="7">
        <f t="shared" si="2"/>
        <v>24219.759999999998</v>
      </c>
      <c r="AB10" s="3" t="s">
        <v>1893</v>
      </c>
      <c r="AC10" s="6">
        <v>1255.25</v>
      </c>
      <c r="AE10" s="3" t="s">
        <v>2714</v>
      </c>
      <c r="AF10" s="6">
        <v>108660.63</v>
      </c>
    </row>
    <row r="11" spans="1:32">
      <c r="A11" s="7">
        <f>GETPIVOTDATA("Sales",$A$2)</f>
        <v>108660.62999999999</v>
      </c>
      <c r="I11" s="3" t="s">
        <v>14</v>
      </c>
      <c r="J11" s="6">
        <v>5123.2299999999977</v>
      </c>
      <c r="L11" s="5" t="str">
        <f t="shared" si="0"/>
        <v>Supplies</v>
      </c>
      <c r="M11" s="7" t="e">
        <f>GETPIVOTDATA("Sales",$I$4,"Sub-Category","Copiers")</f>
        <v>#REF!</v>
      </c>
      <c r="P11" t="s">
        <v>48</v>
      </c>
      <c r="Q11">
        <v>2021</v>
      </c>
      <c r="V11" s="3" t="s">
        <v>280</v>
      </c>
      <c r="W11" s="6">
        <v>598.24</v>
      </c>
      <c r="Y11" t="str">
        <f t="shared" si="1"/>
        <v>Colorado</v>
      </c>
      <c r="Z11" s="7">
        <f t="shared" si="2"/>
        <v>598.24</v>
      </c>
      <c r="AB11" s="3" t="s">
        <v>1909</v>
      </c>
      <c r="AC11" s="6">
        <v>934.53</v>
      </c>
    </row>
    <row r="12" spans="1:32">
      <c r="A12" s="7">
        <f>GETPIVOTDATA("Profit",$A$8)</f>
        <v>13895.179999999997</v>
      </c>
      <c r="I12" s="3" t="s">
        <v>202</v>
      </c>
      <c r="J12" s="6">
        <v>4643.59</v>
      </c>
      <c r="L12" s="5" t="str">
        <f t="shared" si="0"/>
        <v>Furnishings</v>
      </c>
      <c r="M12" s="7">
        <f>GETPIVOTDATA("Sales",$I$4,"Sub-Category","Bookcases")</f>
        <v>6067.0899999999992</v>
      </c>
      <c r="P12" t="s">
        <v>52</v>
      </c>
      <c r="Q12">
        <v>2021</v>
      </c>
      <c r="V12" s="3" t="s">
        <v>615</v>
      </c>
      <c r="W12" s="6">
        <v>708.55000000000007</v>
      </c>
      <c r="Y12" t="str">
        <f t="shared" si="1"/>
        <v>Connecticut</v>
      </c>
      <c r="Z12" s="7">
        <f t="shared" si="2"/>
        <v>708.55000000000007</v>
      </c>
      <c r="AB12" s="3" t="s">
        <v>2714</v>
      </c>
      <c r="AC12" s="6">
        <v>7597.88</v>
      </c>
    </row>
    <row r="13" spans="1:32">
      <c r="I13" s="3" t="s">
        <v>49</v>
      </c>
      <c r="J13" s="6">
        <v>3812.6300000000006</v>
      </c>
      <c r="L13" s="5" t="str">
        <f t="shared" si="0"/>
        <v>Art</v>
      </c>
      <c r="M13" s="7">
        <f>GETPIVOTDATA("Sales",$I$4,"Sub-Category","Appliances")</f>
        <v>12812.33</v>
      </c>
      <c r="P13" t="s">
        <v>56</v>
      </c>
      <c r="Q13">
        <v>2021</v>
      </c>
      <c r="V13" s="3" t="s">
        <v>2046</v>
      </c>
      <c r="W13" s="6">
        <v>77.759999999999991</v>
      </c>
      <c r="Y13" t="str">
        <f t="shared" ref="Y13:Y30" si="3">V13</f>
        <v>District of Columbia</v>
      </c>
      <c r="Z13" s="7">
        <f t="shared" ref="Z13:Z30" si="4">W13</f>
        <v>77.759999999999991</v>
      </c>
    </row>
    <row r="14" spans="1:32">
      <c r="I14" s="3" t="s">
        <v>26</v>
      </c>
      <c r="J14" s="6">
        <v>2186.2899999999995</v>
      </c>
      <c r="L14" s="5" t="str">
        <f t="shared" si="0"/>
        <v>Labels</v>
      </c>
      <c r="M14" s="7">
        <f>GETPIVOTDATA("Sales",$I$4,"Sub-Category","Furnishings")</f>
        <v>3812.6300000000006</v>
      </c>
      <c r="P14" t="s">
        <v>60</v>
      </c>
      <c r="Q14">
        <v>2021</v>
      </c>
      <c r="V14" s="3" t="s">
        <v>125</v>
      </c>
      <c r="W14" s="6">
        <v>2688.56</v>
      </c>
      <c r="Y14" t="str">
        <f t="shared" si="3"/>
        <v>Florida</v>
      </c>
      <c r="Z14" s="7">
        <f t="shared" si="4"/>
        <v>2688.56</v>
      </c>
    </row>
    <row r="15" spans="1:32">
      <c r="I15" s="3" t="s">
        <v>18</v>
      </c>
      <c r="J15" s="6">
        <v>601.94999999999993</v>
      </c>
      <c r="L15" s="5" t="str">
        <f t="shared" si="0"/>
        <v>Envelopes</v>
      </c>
      <c r="M15" s="7">
        <f>GETPIVOTDATA("Sales",$I$4,"Sub-Category","Paper")</f>
        <v>5123.2299999999977</v>
      </c>
      <c r="P15" t="s">
        <v>63</v>
      </c>
      <c r="Q15">
        <v>2021</v>
      </c>
      <c r="V15" s="3" t="s">
        <v>32</v>
      </c>
      <c r="W15" s="6">
        <v>612.53</v>
      </c>
      <c r="Y15" t="str">
        <f t="shared" si="3"/>
        <v>Georgia</v>
      </c>
      <c r="Z15" s="7">
        <f t="shared" si="4"/>
        <v>612.53</v>
      </c>
    </row>
    <row r="16" spans="1:32">
      <c r="I16" s="3" t="s">
        <v>65</v>
      </c>
      <c r="J16" s="6">
        <v>537.16999999999996</v>
      </c>
      <c r="L16" s="5" t="str">
        <f t="shared" si="0"/>
        <v>Fasteners</v>
      </c>
      <c r="M16" s="7">
        <f>GETPIVOTDATA("Sales",$I$4,"Sub-Category","Supplies")</f>
        <v>4643.59</v>
      </c>
      <c r="P16" t="s">
        <v>71</v>
      </c>
      <c r="Q16">
        <v>2021</v>
      </c>
      <c r="V16" s="3" t="s">
        <v>17</v>
      </c>
      <c r="W16" s="6">
        <v>2460.6499999999996</v>
      </c>
      <c r="Y16" t="str">
        <f t="shared" si="3"/>
        <v>Illinois</v>
      </c>
      <c r="Z16" s="7">
        <f t="shared" si="4"/>
        <v>2460.6499999999996</v>
      </c>
    </row>
    <row r="17" spans="9:26">
      <c r="I17" s="3" t="s">
        <v>45</v>
      </c>
      <c r="J17" s="6">
        <v>139.04999999999998</v>
      </c>
      <c r="L17" s="5" t="str">
        <f t="shared" si="0"/>
        <v>Grand Total</v>
      </c>
      <c r="M17" s="7">
        <f>GETPIVOTDATA("Sales",$I$4,"Sub-Category","Art")</f>
        <v>2186.2899999999995</v>
      </c>
      <c r="P17" t="s">
        <v>74</v>
      </c>
      <c r="Q17">
        <v>2021</v>
      </c>
      <c r="V17" s="3" t="s">
        <v>131</v>
      </c>
      <c r="W17" s="6">
        <v>6260.2800000000007</v>
      </c>
      <c r="Y17" t="str">
        <f t="shared" si="3"/>
        <v>Indiana</v>
      </c>
      <c r="Z17" s="7">
        <f t="shared" si="4"/>
        <v>6260.2800000000007</v>
      </c>
    </row>
    <row r="18" spans="9:26">
      <c r="I18" s="3" t="s">
        <v>2714</v>
      </c>
      <c r="J18" s="6">
        <v>108660.62999999999</v>
      </c>
      <c r="L18" s="5">
        <f t="shared" si="0"/>
        <v>0</v>
      </c>
      <c r="M18" s="7">
        <f>GETPIVOTDATA("Sales",$I$4,"Sub-Category","Envelopes")</f>
        <v>537.16999999999996</v>
      </c>
      <c r="P18" t="s">
        <v>79</v>
      </c>
      <c r="Q18">
        <v>2021</v>
      </c>
      <c r="V18" s="3" t="s">
        <v>397</v>
      </c>
      <c r="W18" s="6">
        <v>269.41999999999996</v>
      </c>
      <c r="Y18" t="str">
        <f t="shared" si="3"/>
        <v>Iowa</v>
      </c>
      <c r="Z18" s="7">
        <f t="shared" si="4"/>
        <v>269.41999999999996</v>
      </c>
    </row>
    <row r="19" spans="9:26">
      <c r="L19" s="5">
        <f t="shared" si="0"/>
        <v>0</v>
      </c>
      <c r="M19" s="7">
        <f>GETPIVOTDATA("Sales",$I$4,"Sub-Category","Labels")</f>
        <v>601.94999999999993</v>
      </c>
      <c r="P19" t="s">
        <v>83</v>
      </c>
      <c r="Q19">
        <v>2021</v>
      </c>
      <c r="V19" s="3" t="s">
        <v>1285</v>
      </c>
      <c r="W19" s="6">
        <v>279.89999999999998</v>
      </c>
      <c r="Y19" t="str">
        <f t="shared" si="3"/>
        <v>Kansas</v>
      </c>
      <c r="Z19" s="7">
        <f t="shared" si="4"/>
        <v>279.89999999999998</v>
      </c>
    </row>
    <row r="20" spans="9:26">
      <c r="L20" s="5">
        <f t="shared" si="0"/>
        <v>0</v>
      </c>
      <c r="M20" s="7">
        <f>GETPIVOTDATA("Sales",$I$4,"Sub-Category","Fasteners")</f>
        <v>139.04999999999998</v>
      </c>
      <c r="P20" t="s">
        <v>85</v>
      </c>
      <c r="Q20">
        <v>2021</v>
      </c>
      <c r="V20" s="3" t="s">
        <v>35</v>
      </c>
      <c r="W20" s="6">
        <v>599.30999999999995</v>
      </c>
      <c r="Y20" t="str">
        <f t="shared" si="3"/>
        <v>Kentucky</v>
      </c>
      <c r="Z20" s="7">
        <f t="shared" si="4"/>
        <v>599.30999999999995</v>
      </c>
    </row>
    <row r="21" spans="9:26">
      <c r="L21" s="5">
        <f t="shared" si="0"/>
        <v>0</v>
      </c>
      <c r="M21" s="7">
        <f>GETPIVOTDATA("Sales",$I$4)</f>
        <v>108660.62999999999</v>
      </c>
      <c r="P21" t="s">
        <v>87</v>
      </c>
      <c r="Q21">
        <v>2021</v>
      </c>
      <c r="V21" s="3" t="s">
        <v>64</v>
      </c>
      <c r="W21" s="6">
        <v>638.65</v>
      </c>
      <c r="Y21" t="str">
        <f t="shared" si="3"/>
        <v>Louisiana</v>
      </c>
      <c r="Z21" s="7">
        <f t="shared" si="4"/>
        <v>638.65</v>
      </c>
    </row>
    <row r="22" spans="9:26">
      <c r="L22" s="5"/>
      <c r="M22" s="1"/>
      <c r="P22" t="s">
        <v>92</v>
      </c>
      <c r="Q22">
        <v>2021</v>
      </c>
      <c r="V22" s="3" t="s">
        <v>533</v>
      </c>
      <c r="W22" s="6">
        <v>2411.8000000000002</v>
      </c>
      <c r="Y22" t="str">
        <f t="shared" si="3"/>
        <v>Maryland</v>
      </c>
      <c r="Z22" s="7">
        <f t="shared" si="4"/>
        <v>2411.8000000000002</v>
      </c>
    </row>
    <row r="23" spans="9:26">
      <c r="P23" t="s">
        <v>96</v>
      </c>
      <c r="Q23">
        <v>2021</v>
      </c>
      <c r="V23" s="3" t="s">
        <v>436</v>
      </c>
      <c r="W23" s="6">
        <v>1948.8400000000001</v>
      </c>
      <c r="Y23" t="str">
        <f t="shared" si="3"/>
        <v>Massachusetts</v>
      </c>
      <c r="Z23" s="7">
        <f t="shared" si="4"/>
        <v>1948.8400000000001</v>
      </c>
    </row>
    <row r="24" spans="9:26">
      <c r="P24" t="s">
        <v>102</v>
      </c>
      <c r="Q24">
        <v>2021</v>
      </c>
      <c r="V24" s="3" t="s">
        <v>112</v>
      </c>
      <c r="W24" s="6">
        <v>6679.74</v>
      </c>
      <c r="Y24" t="str">
        <f t="shared" si="3"/>
        <v>Michigan</v>
      </c>
      <c r="Z24" s="7">
        <f t="shared" si="4"/>
        <v>6679.74</v>
      </c>
    </row>
    <row r="25" spans="9:26">
      <c r="P25" t="s">
        <v>109</v>
      </c>
      <c r="Q25">
        <v>2021</v>
      </c>
      <c r="V25" s="3" t="s">
        <v>317</v>
      </c>
      <c r="W25" s="6">
        <v>667.93</v>
      </c>
      <c r="Y25" t="str">
        <f t="shared" si="3"/>
        <v>Minnesota</v>
      </c>
      <c r="Z25" s="7">
        <f t="shared" si="4"/>
        <v>667.93</v>
      </c>
    </row>
    <row r="26" spans="9:26">
      <c r="P26" t="s">
        <v>111</v>
      </c>
      <c r="Q26">
        <v>2021</v>
      </c>
      <c r="V26" s="3" t="s">
        <v>331</v>
      </c>
      <c r="W26" s="6">
        <v>866.4</v>
      </c>
      <c r="Y26" t="str">
        <f t="shared" si="3"/>
        <v>Mississippi</v>
      </c>
      <c r="Z26" s="7">
        <f t="shared" si="4"/>
        <v>866.4</v>
      </c>
    </row>
    <row r="27" spans="9:26">
      <c r="P27" t="s">
        <v>121</v>
      </c>
      <c r="Q27">
        <v>2021</v>
      </c>
      <c r="V27" s="3" t="s">
        <v>188</v>
      </c>
      <c r="W27" s="6">
        <v>4619.329999999999</v>
      </c>
      <c r="Y27" t="str">
        <f t="shared" si="3"/>
        <v>Missouri</v>
      </c>
      <c r="Z27" s="7">
        <f t="shared" si="4"/>
        <v>4619.329999999999</v>
      </c>
    </row>
    <row r="28" spans="9:26">
      <c r="P28" t="s">
        <v>124</v>
      </c>
      <c r="Q28">
        <v>2021</v>
      </c>
      <c r="V28" s="3" t="s">
        <v>517</v>
      </c>
      <c r="W28" s="6">
        <v>1189.43</v>
      </c>
      <c r="Y28" t="str">
        <f t="shared" si="3"/>
        <v>Montana</v>
      </c>
      <c r="Z28" s="7">
        <f t="shared" si="4"/>
        <v>1189.43</v>
      </c>
    </row>
    <row r="29" spans="9:26">
      <c r="P29" t="s">
        <v>127</v>
      </c>
      <c r="Q29">
        <v>2021</v>
      </c>
      <c r="V29" s="3" t="s">
        <v>998</v>
      </c>
      <c r="W29" s="6">
        <v>73.97</v>
      </c>
      <c r="Y29" t="str">
        <f t="shared" si="3"/>
        <v>Nebraska</v>
      </c>
      <c r="Z29" s="7">
        <f t="shared" si="4"/>
        <v>73.97</v>
      </c>
    </row>
    <row r="30" spans="9:26">
      <c r="P30" t="s">
        <v>130</v>
      </c>
      <c r="Q30">
        <v>2021</v>
      </c>
      <c r="V30" s="3" t="s">
        <v>128</v>
      </c>
      <c r="W30" s="6">
        <v>75.790000000000006</v>
      </c>
      <c r="Y30" t="str">
        <f t="shared" si="3"/>
        <v>Nevada</v>
      </c>
      <c r="Z30" s="7">
        <f t="shared" si="4"/>
        <v>75.790000000000006</v>
      </c>
    </row>
    <row r="31" spans="9:26">
      <c r="P31" t="s">
        <v>133</v>
      </c>
      <c r="Q31">
        <v>2021</v>
      </c>
      <c r="V31" s="3" t="s">
        <v>687</v>
      </c>
      <c r="W31" s="6">
        <v>252.51999999999998</v>
      </c>
      <c r="Y31" t="str">
        <f>V31</f>
        <v>New Hampshire</v>
      </c>
      <c r="Z31" s="7">
        <f>W31</f>
        <v>252.51999999999998</v>
      </c>
    </row>
    <row r="32" spans="9:26">
      <c r="P32" t="s">
        <v>141</v>
      </c>
      <c r="Q32">
        <v>2021</v>
      </c>
      <c r="V32" s="3" t="s">
        <v>179</v>
      </c>
      <c r="W32" s="6">
        <v>107.66</v>
      </c>
      <c r="Y32" t="str">
        <f t="shared" ref="Y32:Y44" si="5">V32</f>
        <v>New Jersey</v>
      </c>
      <c r="Z32" s="7">
        <f t="shared" ref="Z32:Z44" si="6">W32</f>
        <v>107.66</v>
      </c>
    </row>
    <row r="33" spans="16:26">
      <c r="P33" t="s">
        <v>145</v>
      </c>
      <c r="Q33">
        <v>2021</v>
      </c>
      <c r="V33" s="3" t="s">
        <v>401</v>
      </c>
      <c r="W33" s="6">
        <v>228.28</v>
      </c>
      <c r="Y33" t="str">
        <f t="shared" si="5"/>
        <v>New Mexico</v>
      </c>
      <c r="Z33" s="7">
        <f t="shared" si="6"/>
        <v>228.28</v>
      </c>
    </row>
    <row r="34" spans="16:26">
      <c r="P34" t="s">
        <v>150</v>
      </c>
      <c r="Q34">
        <v>2021</v>
      </c>
      <c r="V34" s="3" t="s">
        <v>151</v>
      </c>
      <c r="W34" s="6">
        <v>12822.88</v>
      </c>
      <c r="Y34" t="str">
        <f t="shared" si="5"/>
        <v>New York</v>
      </c>
      <c r="Z34" s="7">
        <f t="shared" si="6"/>
        <v>12822.88</v>
      </c>
    </row>
    <row r="35" spans="16:26">
      <c r="P35" t="s">
        <v>153</v>
      </c>
      <c r="Q35">
        <v>2021</v>
      </c>
      <c r="V35" s="3" t="s">
        <v>247</v>
      </c>
      <c r="W35" s="6">
        <v>1723.9299999999998</v>
      </c>
      <c r="Y35" t="str">
        <f t="shared" si="5"/>
        <v>North Carolina</v>
      </c>
      <c r="Z35" s="7">
        <f t="shared" si="6"/>
        <v>1723.9299999999998</v>
      </c>
    </row>
    <row r="36" spans="16:26">
      <c r="P36" t="s">
        <v>156</v>
      </c>
      <c r="Q36">
        <v>2021</v>
      </c>
      <c r="V36" s="3" t="s">
        <v>80</v>
      </c>
      <c r="W36" s="6">
        <v>1799.02</v>
      </c>
      <c r="Y36" t="str">
        <f t="shared" si="5"/>
        <v>Ohio</v>
      </c>
      <c r="Z36" s="7">
        <f t="shared" si="6"/>
        <v>1799.02</v>
      </c>
    </row>
    <row r="37" spans="16:26">
      <c r="P37" t="s">
        <v>158</v>
      </c>
      <c r="Q37">
        <v>2021</v>
      </c>
      <c r="V37" s="3" t="s">
        <v>93</v>
      </c>
      <c r="W37" s="6">
        <v>93.890000000000015</v>
      </c>
      <c r="Y37" t="str">
        <f t="shared" si="5"/>
        <v>Oregon</v>
      </c>
      <c r="Z37" s="7">
        <f t="shared" si="6"/>
        <v>93.890000000000015</v>
      </c>
    </row>
    <row r="38" spans="16:26">
      <c r="P38" t="s">
        <v>161</v>
      </c>
      <c r="Q38">
        <v>2021</v>
      </c>
      <c r="V38" s="3" t="s">
        <v>25</v>
      </c>
      <c r="W38" s="6">
        <v>10296.86</v>
      </c>
      <c r="Y38" t="str">
        <f t="shared" si="5"/>
        <v>Pennsylvania</v>
      </c>
      <c r="Z38" s="7">
        <f t="shared" si="6"/>
        <v>10296.86</v>
      </c>
    </row>
    <row r="39" spans="16:26">
      <c r="P39" t="s">
        <v>163</v>
      </c>
      <c r="Q39">
        <v>2021</v>
      </c>
      <c r="V39" s="3" t="s">
        <v>1531</v>
      </c>
      <c r="W39" s="6">
        <v>102.93</v>
      </c>
      <c r="Y39" t="str">
        <f t="shared" si="5"/>
        <v>Rhode Island</v>
      </c>
      <c r="Z39" s="7">
        <f t="shared" si="6"/>
        <v>102.93</v>
      </c>
    </row>
    <row r="40" spans="16:26">
      <c r="P40" t="s">
        <v>169</v>
      </c>
      <c r="Q40">
        <v>2021</v>
      </c>
      <c r="V40" s="3" t="s">
        <v>122</v>
      </c>
      <c r="W40" s="6">
        <v>3060.920000000001</v>
      </c>
      <c r="Y40" t="str">
        <f t="shared" si="5"/>
        <v>Tennessee</v>
      </c>
      <c r="Z40" s="7">
        <f t="shared" si="6"/>
        <v>3060.920000000001</v>
      </c>
    </row>
    <row r="41" spans="16:26">
      <c r="P41" t="s">
        <v>172</v>
      </c>
      <c r="Q41">
        <v>2021</v>
      </c>
      <c r="V41" s="3" t="s">
        <v>12</v>
      </c>
      <c r="W41" s="6">
        <v>6428.4500000000007</v>
      </c>
      <c r="Y41" t="str">
        <f t="shared" si="5"/>
        <v>Texas</v>
      </c>
      <c r="Z41" s="7">
        <f t="shared" si="6"/>
        <v>6428.4500000000007</v>
      </c>
    </row>
    <row r="42" spans="16:26">
      <c r="P42" t="s">
        <v>173</v>
      </c>
      <c r="Q42">
        <v>2021</v>
      </c>
      <c r="V42" s="3" t="s">
        <v>298</v>
      </c>
      <c r="W42" s="6">
        <v>102.72</v>
      </c>
      <c r="Y42" t="str">
        <f t="shared" si="5"/>
        <v>Utah</v>
      </c>
      <c r="Z42" s="7">
        <f t="shared" si="6"/>
        <v>102.72</v>
      </c>
    </row>
    <row r="43" spans="16:26">
      <c r="P43" t="s">
        <v>178</v>
      </c>
      <c r="Q43">
        <v>2021</v>
      </c>
      <c r="V43" s="3" t="s">
        <v>2324</v>
      </c>
      <c r="W43" s="6">
        <v>637.17999999999995</v>
      </c>
      <c r="Y43" t="str">
        <f t="shared" si="5"/>
        <v>Vermont</v>
      </c>
      <c r="Z43" s="7">
        <f t="shared" si="6"/>
        <v>637.17999999999995</v>
      </c>
    </row>
    <row r="44" spans="16:26">
      <c r="P44" t="s">
        <v>182</v>
      </c>
      <c r="Q44">
        <v>2021</v>
      </c>
      <c r="V44" s="3" t="s">
        <v>57</v>
      </c>
      <c r="W44" s="6">
        <v>263.38</v>
      </c>
      <c r="Y44" t="str">
        <f t="shared" si="5"/>
        <v>Virginia</v>
      </c>
      <c r="Z44" s="7">
        <f t="shared" si="6"/>
        <v>263.38</v>
      </c>
    </row>
    <row r="45" spans="16:26">
      <c r="P45" t="s">
        <v>184</v>
      </c>
      <c r="Q45">
        <v>2021</v>
      </c>
      <c r="V45" s="3" t="s">
        <v>166</v>
      </c>
      <c r="W45" s="6">
        <v>10875.17</v>
      </c>
      <c r="Y45" t="str">
        <f>V45</f>
        <v>Washington</v>
      </c>
      <c r="Z45" s="7">
        <f>W45</f>
        <v>10875.17</v>
      </c>
    </row>
    <row r="46" spans="16:26">
      <c r="P46" t="s">
        <v>187</v>
      </c>
      <c r="Q46">
        <v>2021</v>
      </c>
      <c r="V46" s="3" t="s">
        <v>2689</v>
      </c>
      <c r="W46" s="6">
        <v>536.48</v>
      </c>
      <c r="Y46" t="str">
        <f t="shared" ref="Y46:Y56" si="7">V46</f>
        <v>West Virginia</v>
      </c>
      <c r="Z46" s="7">
        <f t="shared" ref="Z46:Z56" si="8">W46</f>
        <v>536.48</v>
      </c>
    </row>
    <row r="47" spans="16:26">
      <c r="P47" t="s">
        <v>195</v>
      </c>
      <c r="Q47">
        <v>2021</v>
      </c>
      <c r="V47" s="3" t="s">
        <v>159</v>
      </c>
      <c r="W47" s="6">
        <v>117.00999999999999</v>
      </c>
      <c r="Y47" t="str">
        <f t="shared" si="7"/>
        <v>Wisconsin</v>
      </c>
      <c r="Z47" s="7">
        <f t="shared" si="8"/>
        <v>117.00999999999999</v>
      </c>
    </row>
    <row r="48" spans="16:26">
      <c r="P48" t="s">
        <v>197</v>
      </c>
      <c r="Q48">
        <v>2021</v>
      </c>
      <c r="V48" s="3" t="s">
        <v>2714</v>
      </c>
      <c r="W48" s="6">
        <v>108660.62999999998</v>
      </c>
      <c r="Y48" t="str">
        <f t="shared" si="7"/>
        <v>Grand Total</v>
      </c>
      <c r="Z48" s="7">
        <f t="shared" si="8"/>
        <v>108660.62999999998</v>
      </c>
    </row>
    <row r="49" spans="16:26">
      <c r="P49" t="s">
        <v>199</v>
      </c>
      <c r="Q49">
        <v>2021</v>
      </c>
      <c r="Y49">
        <f t="shared" si="7"/>
        <v>0</v>
      </c>
      <c r="Z49" s="7">
        <f t="shared" si="8"/>
        <v>0</v>
      </c>
    </row>
    <row r="50" spans="16:26">
      <c r="P50" t="s">
        <v>204</v>
      </c>
      <c r="Q50">
        <v>2021</v>
      </c>
      <c r="Y50">
        <f t="shared" si="7"/>
        <v>0</v>
      </c>
      <c r="Z50" s="7">
        <f t="shared" si="8"/>
        <v>0</v>
      </c>
    </row>
    <row r="51" spans="16:26">
      <c r="P51" t="s">
        <v>206</v>
      </c>
      <c r="Q51">
        <v>2021</v>
      </c>
      <c r="Y51">
        <f t="shared" si="7"/>
        <v>0</v>
      </c>
      <c r="Z51" s="7">
        <f t="shared" si="8"/>
        <v>0</v>
      </c>
    </row>
    <row r="52" spans="16:26">
      <c r="P52" t="s">
        <v>210</v>
      </c>
      <c r="Q52">
        <v>2021</v>
      </c>
      <c r="Y52">
        <f t="shared" si="7"/>
        <v>0</v>
      </c>
      <c r="Z52" s="7">
        <f t="shared" si="8"/>
        <v>0</v>
      </c>
    </row>
    <row r="53" spans="16:26">
      <c r="P53" t="s">
        <v>212</v>
      </c>
      <c r="Q53">
        <v>2021</v>
      </c>
      <c r="Y53">
        <f t="shared" si="7"/>
        <v>0</v>
      </c>
      <c r="Z53" s="7">
        <f t="shared" si="8"/>
        <v>0</v>
      </c>
    </row>
    <row r="54" spans="16:26">
      <c r="P54" t="s">
        <v>214</v>
      </c>
      <c r="Q54">
        <v>2021</v>
      </c>
      <c r="Y54">
        <f t="shared" si="7"/>
        <v>0</v>
      </c>
      <c r="Z54" s="7">
        <f t="shared" si="8"/>
        <v>0</v>
      </c>
    </row>
    <row r="55" spans="16:26">
      <c r="P55" t="s">
        <v>217</v>
      </c>
      <c r="Q55">
        <v>2021</v>
      </c>
      <c r="Y55">
        <f t="shared" si="7"/>
        <v>0</v>
      </c>
      <c r="Z55" s="7">
        <f t="shared" si="8"/>
        <v>0</v>
      </c>
    </row>
    <row r="56" spans="16:26">
      <c r="P56" t="s">
        <v>219</v>
      </c>
      <c r="Q56">
        <v>2021</v>
      </c>
      <c r="Y56">
        <f t="shared" si="7"/>
        <v>0</v>
      </c>
      <c r="Z56" s="7">
        <f t="shared" si="8"/>
        <v>0</v>
      </c>
    </row>
    <row r="57" spans="16:26">
      <c r="P57" t="s">
        <v>220</v>
      </c>
      <c r="Q57">
        <v>2021</v>
      </c>
    </row>
    <row r="58" spans="16:26">
      <c r="P58" t="s">
        <v>222</v>
      </c>
      <c r="Q58">
        <v>2021</v>
      </c>
    </row>
    <row r="59" spans="16:26">
      <c r="P59" t="s">
        <v>225</v>
      </c>
      <c r="Q59">
        <v>2021</v>
      </c>
    </row>
    <row r="60" spans="16:26">
      <c r="P60" t="s">
        <v>227</v>
      </c>
      <c r="Q60">
        <v>2021</v>
      </c>
    </row>
    <row r="61" spans="16:26">
      <c r="P61" t="s">
        <v>229</v>
      </c>
      <c r="Q61">
        <v>2021</v>
      </c>
    </row>
    <row r="62" spans="16:26">
      <c r="P62" t="s">
        <v>230</v>
      </c>
      <c r="Q62">
        <v>2021</v>
      </c>
    </row>
    <row r="63" spans="16:26">
      <c r="P63" t="s">
        <v>232</v>
      </c>
      <c r="Q63">
        <v>2021</v>
      </c>
    </row>
    <row r="64" spans="16:26">
      <c r="P64" t="s">
        <v>235</v>
      </c>
      <c r="Q64">
        <v>2021</v>
      </c>
    </row>
    <row r="65" spans="16:17">
      <c r="P65" t="s">
        <v>239</v>
      </c>
      <c r="Q65">
        <v>2021</v>
      </c>
    </row>
    <row r="66" spans="16:17">
      <c r="P66" t="s">
        <v>241</v>
      </c>
      <c r="Q66">
        <v>2021</v>
      </c>
    </row>
    <row r="67" spans="16:17">
      <c r="P67" t="s">
        <v>243</v>
      </c>
      <c r="Q67">
        <v>2021</v>
      </c>
    </row>
    <row r="68" spans="16:17">
      <c r="P68" t="s">
        <v>246</v>
      </c>
      <c r="Q68">
        <v>2021</v>
      </c>
    </row>
    <row r="69" spans="16:17">
      <c r="P69" t="s">
        <v>248</v>
      </c>
      <c r="Q69">
        <v>2021</v>
      </c>
    </row>
    <row r="70" spans="16:17">
      <c r="P70" t="s">
        <v>251</v>
      </c>
      <c r="Q70">
        <v>2021</v>
      </c>
    </row>
    <row r="71" spans="16:17">
      <c r="P71" t="s">
        <v>254</v>
      </c>
      <c r="Q71">
        <v>2021</v>
      </c>
    </row>
    <row r="72" spans="16:17">
      <c r="P72" t="s">
        <v>256</v>
      </c>
      <c r="Q72">
        <v>2021</v>
      </c>
    </row>
    <row r="73" spans="16:17">
      <c r="P73" t="s">
        <v>258</v>
      </c>
      <c r="Q73">
        <v>2021</v>
      </c>
    </row>
    <row r="74" spans="16:17">
      <c r="P74" t="s">
        <v>261</v>
      </c>
      <c r="Q74">
        <v>2021</v>
      </c>
    </row>
    <row r="75" spans="16:17">
      <c r="P75" t="s">
        <v>270</v>
      </c>
      <c r="Q75">
        <v>2021</v>
      </c>
    </row>
    <row r="76" spans="16:17">
      <c r="P76" t="s">
        <v>272</v>
      </c>
      <c r="Q76">
        <v>2021</v>
      </c>
    </row>
    <row r="77" spans="16:17">
      <c r="P77" t="s">
        <v>277</v>
      </c>
      <c r="Q77">
        <v>2021</v>
      </c>
    </row>
    <row r="78" spans="16:17">
      <c r="P78" t="s">
        <v>279</v>
      </c>
      <c r="Q78">
        <v>2021</v>
      </c>
    </row>
    <row r="79" spans="16:17">
      <c r="P79" t="s">
        <v>282</v>
      </c>
      <c r="Q79">
        <v>2021</v>
      </c>
    </row>
    <row r="80" spans="16:17">
      <c r="P80" t="s">
        <v>285</v>
      </c>
      <c r="Q80">
        <v>2021</v>
      </c>
    </row>
    <row r="81" spans="16:17">
      <c r="P81" t="s">
        <v>287</v>
      </c>
      <c r="Q81">
        <v>2021</v>
      </c>
    </row>
    <row r="82" spans="16:17">
      <c r="P82" t="s">
        <v>291</v>
      </c>
      <c r="Q82">
        <v>2021</v>
      </c>
    </row>
    <row r="83" spans="16:17">
      <c r="P83" t="s">
        <v>293</v>
      </c>
      <c r="Q83">
        <v>2021</v>
      </c>
    </row>
    <row r="84" spans="16:17">
      <c r="P84" t="s">
        <v>295</v>
      </c>
      <c r="Q84">
        <v>2021</v>
      </c>
    </row>
    <row r="85" spans="16:17">
      <c r="P85" t="s">
        <v>297</v>
      </c>
      <c r="Q85">
        <v>2021</v>
      </c>
    </row>
    <row r="86" spans="16:17">
      <c r="P86" t="s">
        <v>303</v>
      </c>
      <c r="Q86">
        <v>2021</v>
      </c>
    </row>
    <row r="87" spans="16:17">
      <c r="P87" t="s">
        <v>307</v>
      </c>
      <c r="Q87">
        <v>2021</v>
      </c>
    </row>
    <row r="88" spans="16:17">
      <c r="P88" t="s">
        <v>309</v>
      </c>
      <c r="Q88">
        <v>2021</v>
      </c>
    </row>
    <row r="89" spans="16:17">
      <c r="P89" t="s">
        <v>316</v>
      </c>
      <c r="Q89">
        <v>2021</v>
      </c>
    </row>
    <row r="90" spans="16:17">
      <c r="P90" t="s">
        <v>321</v>
      </c>
      <c r="Q90">
        <v>2021</v>
      </c>
    </row>
    <row r="91" spans="16:17">
      <c r="P91" t="s">
        <v>327</v>
      </c>
      <c r="Q91">
        <v>2021</v>
      </c>
    </row>
    <row r="92" spans="16:17">
      <c r="P92" t="s">
        <v>336</v>
      </c>
      <c r="Q92">
        <v>2021</v>
      </c>
    </row>
    <row r="93" spans="16:17">
      <c r="P93" t="s">
        <v>338</v>
      </c>
      <c r="Q93">
        <v>2021</v>
      </c>
    </row>
    <row r="94" spans="16:17">
      <c r="P94" t="s">
        <v>343</v>
      </c>
      <c r="Q94">
        <v>2021</v>
      </c>
    </row>
    <row r="95" spans="16:17">
      <c r="P95" t="s">
        <v>345</v>
      </c>
      <c r="Q95">
        <v>2021</v>
      </c>
    </row>
    <row r="96" spans="16:17">
      <c r="P96" t="s">
        <v>348</v>
      </c>
      <c r="Q96">
        <v>2021</v>
      </c>
    </row>
    <row r="97" spans="16:17">
      <c r="P97" t="s">
        <v>354</v>
      </c>
      <c r="Q97">
        <v>2021</v>
      </c>
    </row>
    <row r="98" spans="16:17">
      <c r="P98" t="s">
        <v>357</v>
      </c>
      <c r="Q98">
        <v>2021</v>
      </c>
    </row>
    <row r="99" spans="16:17">
      <c r="P99" t="s">
        <v>359</v>
      </c>
      <c r="Q99">
        <v>2021</v>
      </c>
    </row>
    <row r="100" spans="16:17">
      <c r="P100" t="s">
        <v>365</v>
      </c>
      <c r="Q100">
        <v>2021</v>
      </c>
    </row>
    <row r="101" spans="16:17">
      <c r="P101" t="s">
        <v>368</v>
      </c>
      <c r="Q101">
        <v>2021</v>
      </c>
    </row>
    <row r="102" spans="16:17">
      <c r="P102" t="s">
        <v>371</v>
      </c>
      <c r="Q102">
        <v>2021</v>
      </c>
    </row>
    <row r="103" spans="16:17">
      <c r="P103" t="s">
        <v>374</v>
      </c>
      <c r="Q103">
        <v>2021</v>
      </c>
    </row>
    <row r="104" spans="16:17">
      <c r="P104" t="s">
        <v>375</v>
      </c>
      <c r="Q104">
        <v>2021</v>
      </c>
    </row>
    <row r="105" spans="16:17">
      <c r="P105" t="s">
        <v>378</v>
      </c>
      <c r="Q105">
        <v>2021</v>
      </c>
    </row>
    <row r="106" spans="16:17">
      <c r="P106" t="s">
        <v>380</v>
      </c>
      <c r="Q106">
        <v>2021</v>
      </c>
    </row>
    <row r="107" spans="16:17">
      <c r="P107" t="s">
        <v>382</v>
      </c>
      <c r="Q107">
        <v>2021</v>
      </c>
    </row>
    <row r="108" spans="16:17">
      <c r="P108" t="s">
        <v>385</v>
      </c>
      <c r="Q108">
        <v>2021</v>
      </c>
    </row>
    <row r="109" spans="16:17">
      <c r="P109" t="s">
        <v>389</v>
      </c>
      <c r="Q109">
        <v>2021</v>
      </c>
    </row>
    <row r="110" spans="16:17">
      <c r="P110" t="s">
        <v>391</v>
      </c>
      <c r="Q110">
        <v>2021</v>
      </c>
    </row>
    <row r="111" spans="16:17">
      <c r="P111" t="s">
        <v>394</v>
      </c>
      <c r="Q111">
        <v>2021</v>
      </c>
    </row>
    <row r="112" spans="16:17">
      <c r="P112" t="s">
        <v>396</v>
      </c>
      <c r="Q112">
        <v>2021</v>
      </c>
    </row>
    <row r="113" spans="16:17">
      <c r="P113" t="s">
        <v>400</v>
      </c>
      <c r="Q113">
        <v>2021</v>
      </c>
    </row>
    <row r="114" spans="16:17">
      <c r="P114" t="s">
        <v>403</v>
      </c>
      <c r="Q114">
        <v>2021</v>
      </c>
    </row>
    <row r="115" spans="16:17">
      <c r="P115" t="s">
        <v>405</v>
      </c>
      <c r="Q115">
        <v>2021</v>
      </c>
    </row>
    <row r="116" spans="16:17">
      <c r="P116" t="s">
        <v>407</v>
      </c>
      <c r="Q116">
        <v>2021</v>
      </c>
    </row>
    <row r="117" spans="16:17">
      <c r="P117" t="s">
        <v>409</v>
      </c>
      <c r="Q117">
        <v>2021</v>
      </c>
    </row>
    <row r="118" spans="16:17">
      <c r="P118" t="s">
        <v>412</v>
      </c>
      <c r="Q118">
        <v>2021</v>
      </c>
    </row>
    <row r="119" spans="16:17">
      <c r="P119" t="s">
        <v>415</v>
      </c>
      <c r="Q119">
        <v>2021</v>
      </c>
    </row>
    <row r="120" spans="16:17">
      <c r="P120" t="s">
        <v>419</v>
      </c>
      <c r="Q120">
        <v>2021</v>
      </c>
    </row>
    <row r="121" spans="16:17">
      <c r="P121" t="s">
        <v>421</v>
      </c>
      <c r="Q121">
        <v>2021</v>
      </c>
    </row>
    <row r="122" spans="16:17">
      <c r="P122" t="s">
        <v>424</v>
      </c>
      <c r="Q122">
        <v>2021</v>
      </c>
    </row>
    <row r="123" spans="16:17">
      <c r="P123" t="s">
        <v>426</v>
      </c>
      <c r="Q123">
        <v>2021</v>
      </c>
    </row>
    <row r="124" spans="16:17">
      <c r="P124" t="s">
        <v>429</v>
      </c>
      <c r="Q124">
        <v>2021</v>
      </c>
    </row>
    <row r="125" spans="16:17">
      <c r="P125" t="s">
        <v>431</v>
      </c>
      <c r="Q125">
        <v>2021</v>
      </c>
    </row>
    <row r="126" spans="16:17">
      <c r="P126" t="s">
        <v>435</v>
      </c>
      <c r="Q126">
        <v>2021</v>
      </c>
    </row>
    <row r="127" spans="16:17">
      <c r="P127" t="s">
        <v>439</v>
      </c>
      <c r="Q127">
        <v>2021</v>
      </c>
    </row>
    <row r="128" spans="16:17">
      <c r="P128" t="s">
        <v>445</v>
      </c>
      <c r="Q128">
        <v>2021</v>
      </c>
    </row>
    <row r="129" spans="16:17">
      <c r="P129" t="s">
        <v>447</v>
      </c>
      <c r="Q129">
        <v>2021</v>
      </c>
    </row>
    <row r="130" spans="16:17">
      <c r="P130" t="s">
        <v>448</v>
      </c>
      <c r="Q130">
        <v>2021</v>
      </c>
    </row>
    <row r="131" spans="16:17">
      <c r="P131" t="s">
        <v>452</v>
      </c>
      <c r="Q131">
        <v>2021</v>
      </c>
    </row>
    <row r="132" spans="16:17">
      <c r="P132" t="s">
        <v>454</v>
      </c>
      <c r="Q132">
        <v>2021</v>
      </c>
    </row>
    <row r="133" spans="16:17">
      <c r="P133" t="s">
        <v>458</v>
      </c>
      <c r="Q133">
        <v>2021</v>
      </c>
    </row>
    <row r="134" spans="16:17">
      <c r="P134" t="s">
        <v>460</v>
      </c>
      <c r="Q134">
        <v>2021</v>
      </c>
    </row>
    <row r="135" spans="16:17">
      <c r="P135" t="s">
        <v>464</v>
      </c>
      <c r="Q135">
        <v>2021</v>
      </c>
    </row>
    <row r="136" spans="16:17">
      <c r="P136" t="s">
        <v>467</v>
      </c>
      <c r="Q136">
        <v>2021</v>
      </c>
    </row>
    <row r="137" spans="16:17">
      <c r="P137" t="s">
        <v>470</v>
      </c>
      <c r="Q137">
        <v>2021</v>
      </c>
    </row>
    <row r="138" spans="16:17">
      <c r="P138" t="s">
        <v>472</v>
      </c>
      <c r="Q138">
        <v>2021</v>
      </c>
    </row>
    <row r="139" spans="16:17">
      <c r="P139" t="s">
        <v>477</v>
      </c>
      <c r="Q139">
        <v>2021</v>
      </c>
    </row>
    <row r="140" spans="16:17">
      <c r="P140" t="s">
        <v>480</v>
      </c>
      <c r="Q140">
        <v>2021</v>
      </c>
    </row>
    <row r="141" spans="16:17">
      <c r="P141" t="s">
        <v>485</v>
      </c>
      <c r="Q141">
        <v>2021</v>
      </c>
    </row>
    <row r="142" spans="16:17">
      <c r="P142" t="s">
        <v>489</v>
      </c>
      <c r="Q142">
        <v>2021</v>
      </c>
    </row>
    <row r="143" spans="16:17">
      <c r="P143" t="s">
        <v>492</v>
      </c>
      <c r="Q143">
        <v>2021</v>
      </c>
    </row>
    <row r="144" spans="16:17">
      <c r="P144" t="s">
        <v>494</v>
      </c>
      <c r="Q144">
        <v>2021</v>
      </c>
    </row>
    <row r="145" spans="16:17">
      <c r="P145" t="s">
        <v>497</v>
      </c>
      <c r="Q145">
        <v>2021</v>
      </c>
    </row>
    <row r="146" spans="16:17">
      <c r="P146" t="s">
        <v>500</v>
      </c>
      <c r="Q146">
        <v>2021</v>
      </c>
    </row>
    <row r="147" spans="16:17">
      <c r="P147" t="s">
        <v>502</v>
      </c>
      <c r="Q147">
        <v>2021</v>
      </c>
    </row>
    <row r="148" spans="16:17">
      <c r="P148" t="s">
        <v>505</v>
      </c>
      <c r="Q148">
        <v>2021</v>
      </c>
    </row>
    <row r="149" spans="16:17">
      <c r="P149" t="s">
        <v>507</v>
      </c>
      <c r="Q149">
        <v>2021</v>
      </c>
    </row>
    <row r="150" spans="16:17">
      <c r="P150" t="s">
        <v>511</v>
      </c>
      <c r="Q150">
        <v>2021</v>
      </c>
    </row>
    <row r="151" spans="16:17">
      <c r="P151" t="s">
        <v>514</v>
      </c>
      <c r="Q151">
        <v>2021</v>
      </c>
    </row>
    <row r="152" spans="16:17">
      <c r="P152" t="s">
        <v>516</v>
      </c>
      <c r="Q152">
        <v>2021</v>
      </c>
    </row>
    <row r="153" spans="16:17">
      <c r="P153" t="s">
        <v>521</v>
      </c>
      <c r="Q153">
        <v>2021</v>
      </c>
    </row>
    <row r="154" spans="16:17">
      <c r="P154" t="s">
        <v>525</v>
      </c>
      <c r="Q154">
        <v>2021</v>
      </c>
    </row>
    <row r="155" spans="16:17">
      <c r="P155" t="s">
        <v>527</v>
      </c>
      <c r="Q155">
        <v>2021</v>
      </c>
    </row>
    <row r="156" spans="16:17">
      <c r="P156" t="s">
        <v>532</v>
      </c>
      <c r="Q156">
        <v>2021</v>
      </c>
    </row>
    <row r="157" spans="16:17">
      <c r="P157" t="s">
        <v>535</v>
      </c>
      <c r="Q157">
        <v>2021</v>
      </c>
    </row>
    <row r="158" spans="16:17">
      <c r="P158" t="s">
        <v>538</v>
      </c>
      <c r="Q158">
        <v>2021</v>
      </c>
    </row>
    <row r="159" spans="16:17">
      <c r="P159" t="s">
        <v>539</v>
      </c>
      <c r="Q159">
        <v>2021</v>
      </c>
    </row>
    <row r="160" spans="16:17">
      <c r="P160" t="s">
        <v>547</v>
      </c>
      <c r="Q160">
        <v>2021</v>
      </c>
    </row>
    <row r="161" spans="16:17">
      <c r="P161" t="s">
        <v>549</v>
      </c>
      <c r="Q161">
        <v>2021</v>
      </c>
    </row>
    <row r="162" spans="16:17">
      <c r="P162" t="s">
        <v>554</v>
      </c>
      <c r="Q162">
        <v>2021</v>
      </c>
    </row>
    <row r="163" spans="16:17">
      <c r="P163" t="s">
        <v>556</v>
      </c>
      <c r="Q163">
        <v>2021</v>
      </c>
    </row>
    <row r="164" spans="16:17">
      <c r="P164" t="s">
        <v>558</v>
      </c>
      <c r="Q164">
        <v>2021</v>
      </c>
    </row>
    <row r="165" spans="16:17">
      <c r="P165" t="s">
        <v>560</v>
      </c>
      <c r="Q165">
        <v>2021</v>
      </c>
    </row>
    <row r="166" spans="16:17">
      <c r="P166" t="s">
        <v>562</v>
      </c>
      <c r="Q166">
        <v>2021</v>
      </c>
    </row>
    <row r="167" spans="16:17">
      <c r="P167" t="s">
        <v>564</v>
      </c>
      <c r="Q167">
        <v>2021</v>
      </c>
    </row>
    <row r="168" spans="16:17">
      <c r="P168" t="s">
        <v>566</v>
      </c>
      <c r="Q168">
        <v>2021</v>
      </c>
    </row>
    <row r="169" spans="16:17">
      <c r="P169" t="s">
        <v>569</v>
      </c>
      <c r="Q169">
        <v>2021</v>
      </c>
    </row>
    <row r="170" spans="16:17">
      <c r="P170" t="s">
        <v>571</v>
      </c>
      <c r="Q170">
        <v>2021</v>
      </c>
    </row>
    <row r="171" spans="16:17">
      <c r="P171" t="s">
        <v>575</v>
      </c>
      <c r="Q171">
        <v>2021</v>
      </c>
    </row>
    <row r="172" spans="16:17">
      <c r="P172" t="s">
        <v>578</v>
      </c>
      <c r="Q172">
        <v>2021</v>
      </c>
    </row>
    <row r="173" spans="16:17">
      <c r="P173" t="s">
        <v>580</v>
      </c>
      <c r="Q173">
        <v>2021</v>
      </c>
    </row>
    <row r="174" spans="16:17">
      <c r="P174" t="s">
        <v>585</v>
      </c>
      <c r="Q174">
        <v>2021</v>
      </c>
    </row>
    <row r="175" spans="16:17">
      <c r="P175" t="s">
        <v>589</v>
      </c>
      <c r="Q175">
        <v>2021</v>
      </c>
    </row>
    <row r="176" spans="16:17">
      <c r="P176" t="s">
        <v>591</v>
      </c>
      <c r="Q176">
        <v>2021</v>
      </c>
    </row>
    <row r="177" spans="16:17">
      <c r="P177" t="s">
        <v>592</v>
      </c>
      <c r="Q177">
        <v>2021</v>
      </c>
    </row>
    <row r="178" spans="16:17">
      <c r="P178" t="s">
        <v>594</v>
      </c>
      <c r="Q178">
        <v>2021</v>
      </c>
    </row>
    <row r="179" spans="16:17">
      <c r="P179" t="s">
        <v>595</v>
      </c>
      <c r="Q179">
        <v>2021</v>
      </c>
    </row>
    <row r="180" spans="16:17">
      <c r="P180" t="s">
        <v>598</v>
      </c>
      <c r="Q180">
        <v>2021</v>
      </c>
    </row>
    <row r="181" spans="16:17">
      <c r="P181" t="s">
        <v>601</v>
      </c>
      <c r="Q181">
        <v>2021</v>
      </c>
    </row>
    <row r="182" spans="16:17">
      <c r="P182" t="s">
        <v>603</v>
      </c>
      <c r="Q182">
        <v>2021</v>
      </c>
    </row>
    <row r="183" spans="16:17">
      <c r="P183" t="s">
        <v>604</v>
      </c>
      <c r="Q183">
        <v>2021</v>
      </c>
    </row>
    <row r="184" spans="16:17">
      <c r="P184" t="s">
        <v>607</v>
      </c>
      <c r="Q184">
        <v>2021</v>
      </c>
    </row>
    <row r="185" spans="16:17">
      <c r="P185" t="s">
        <v>609</v>
      </c>
      <c r="Q185">
        <v>2021</v>
      </c>
    </row>
    <row r="186" spans="16:17">
      <c r="P186" t="s">
        <v>612</v>
      </c>
      <c r="Q186">
        <v>2021</v>
      </c>
    </row>
    <row r="187" spans="16:17">
      <c r="P187" t="s">
        <v>614</v>
      </c>
      <c r="Q187">
        <v>2021</v>
      </c>
    </row>
    <row r="188" spans="16:17">
      <c r="P188" t="s">
        <v>617</v>
      </c>
      <c r="Q188">
        <v>2021</v>
      </c>
    </row>
    <row r="189" spans="16:17">
      <c r="P189" t="s">
        <v>620</v>
      </c>
      <c r="Q189">
        <v>2021</v>
      </c>
    </row>
    <row r="190" spans="16:17">
      <c r="P190" t="s">
        <v>624</v>
      </c>
      <c r="Q190">
        <v>2021</v>
      </c>
    </row>
    <row r="191" spans="16:17">
      <c r="P191" t="s">
        <v>626</v>
      </c>
      <c r="Q191">
        <v>2021</v>
      </c>
    </row>
    <row r="192" spans="16:17">
      <c r="P192" t="s">
        <v>628</v>
      </c>
      <c r="Q192">
        <v>2021</v>
      </c>
    </row>
    <row r="193" spans="16:17">
      <c r="P193" t="s">
        <v>630</v>
      </c>
      <c r="Q193">
        <v>2021</v>
      </c>
    </row>
    <row r="194" spans="16:17">
      <c r="P194" t="s">
        <v>632</v>
      </c>
      <c r="Q194">
        <v>2021</v>
      </c>
    </row>
    <row r="195" spans="16:17">
      <c r="P195" t="s">
        <v>637</v>
      </c>
      <c r="Q195">
        <v>2021</v>
      </c>
    </row>
    <row r="196" spans="16:17">
      <c r="P196" t="s">
        <v>639</v>
      </c>
      <c r="Q196">
        <v>2021</v>
      </c>
    </row>
    <row r="197" spans="16:17">
      <c r="P197" t="s">
        <v>645</v>
      </c>
      <c r="Q197">
        <v>2021</v>
      </c>
    </row>
    <row r="198" spans="16:17">
      <c r="P198" t="s">
        <v>648</v>
      </c>
      <c r="Q198">
        <v>2021</v>
      </c>
    </row>
    <row r="199" spans="16:17">
      <c r="P199" t="s">
        <v>653</v>
      </c>
      <c r="Q199">
        <v>2021</v>
      </c>
    </row>
    <row r="200" spans="16:17">
      <c r="P200" t="s">
        <v>657</v>
      </c>
      <c r="Q200">
        <v>2021</v>
      </c>
    </row>
    <row r="201" spans="16:17">
      <c r="P201" t="s">
        <v>659</v>
      </c>
      <c r="Q201">
        <v>2021</v>
      </c>
    </row>
    <row r="202" spans="16:17">
      <c r="P202" t="s">
        <v>661</v>
      </c>
      <c r="Q202">
        <v>2021</v>
      </c>
    </row>
    <row r="203" spans="16:17">
      <c r="P203" t="s">
        <v>663</v>
      </c>
      <c r="Q203">
        <v>2021</v>
      </c>
    </row>
    <row r="204" spans="16:17">
      <c r="P204" t="s">
        <v>666</v>
      </c>
      <c r="Q204">
        <v>2021</v>
      </c>
    </row>
    <row r="205" spans="16:17">
      <c r="P205" t="s">
        <v>667</v>
      </c>
      <c r="Q205">
        <v>2021</v>
      </c>
    </row>
    <row r="206" spans="16:17">
      <c r="P206" t="s">
        <v>669</v>
      </c>
      <c r="Q206">
        <v>2021</v>
      </c>
    </row>
    <row r="207" spans="16:17">
      <c r="P207" t="s">
        <v>671</v>
      </c>
      <c r="Q207">
        <v>2021</v>
      </c>
    </row>
    <row r="208" spans="16:17">
      <c r="P208" t="s">
        <v>673</v>
      </c>
      <c r="Q208">
        <v>2021</v>
      </c>
    </row>
    <row r="209" spans="16:17">
      <c r="P209" t="s">
        <v>674</v>
      </c>
      <c r="Q209">
        <v>2021</v>
      </c>
    </row>
    <row r="210" spans="16:17">
      <c r="P210" t="s">
        <v>676</v>
      </c>
      <c r="Q210">
        <v>2021</v>
      </c>
    </row>
    <row r="211" spans="16:17">
      <c r="P211" t="s">
        <v>677</v>
      </c>
      <c r="Q211">
        <v>2021</v>
      </c>
    </row>
    <row r="212" spans="16:17">
      <c r="P212" t="s">
        <v>679</v>
      </c>
      <c r="Q212">
        <v>2021</v>
      </c>
    </row>
    <row r="213" spans="16:17">
      <c r="P213" t="s">
        <v>682</v>
      </c>
      <c r="Q213">
        <v>2021</v>
      </c>
    </row>
    <row r="214" spans="16:17">
      <c r="P214" t="s">
        <v>683</v>
      </c>
      <c r="Q214">
        <v>2021</v>
      </c>
    </row>
    <row r="215" spans="16:17">
      <c r="P215" t="s">
        <v>685</v>
      </c>
      <c r="Q215">
        <v>2021</v>
      </c>
    </row>
    <row r="216" spans="16:17">
      <c r="P216" t="s">
        <v>686</v>
      </c>
      <c r="Q216">
        <v>2021</v>
      </c>
    </row>
    <row r="217" spans="16:17">
      <c r="P217" t="s">
        <v>691</v>
      </c>
      <c r="Q217">
        <v>2021</v>
      </c>
    </row>
    <row r="218" spans="16:17">
      <c r="P218" t="s">
        <v>694</v>
      </c>
      <c r="Q218">
        <v>2021</v>
      </c>
    </row>
    <row r="219" spans="16:17">
      <c r="P219" t="s">
        <v>697</v>
      </c>
      <c r="Q219">
        <v>2021</v>
      </c>
    </row>
    <row r="220" spans="16:17">
      <c r="P220" t="s">
        <v>698</v>
      </c>
      <c r="Q220">
        <v>2021</v>
      </c>
    </row>
    <row r="221" spans="16:17">
      <c r="P221" t="s">
        <v>704</v>
      </c>
      <c r="Q221">
        <v>2021</v>
      </c>
    </row>
    <row r="222" spans="16:17">
      <c r="P222" t="s">
        <v>711</v>
      </c>
      <c r="Q222">
        <v>2021</v>
      </c>
    </row>
    <row r="223" spans="16:17">
      <c r="P223" t="s">
        <v>714</v>
      </c>
      <c r="Q223">
        <v>2021</v>
      </c>
    </row>
    <row r="224" spans="16:17">
      <c r="P224" t="s">
        <v>716</v>
      </c>
      <c r="Q224">
        <v>2021</v>
      </c>
    </row>
    <row r="225" spans="16:17">
      <c r="P225" t="s">
        <v>719</v>
      </c>
      <c r="Q225">
        <v>2021</v>
      </c>
    </row>
    <row r="226" spans="16:17">
      <c r="P226" t="s">
        <v>724</v>
      </c>
      <c r="Q226">
        <v>2021</v>
      </c>
    </row>
    <row r="227" spans="16:17">
      <c r="P227" t="s">
        <v>726</v>
      </c>
      <c r="Q227">
        <v>2021</v>
      </c>
    </row>
    <row r="228" spans="16:17">
      <c r="P228" t="s">
        <v>729</v>
      </c>
      <c r="Q228">
        <v>2021</v>
      </c>
    </row>
    <row r="229" spans="16:17">
      <c r="P229" t="s">
        <v>734</v>
      </c>
      <c r="Q229">
        <v>2021</v>
      </c>
    </row>
    <row r="230" spans="16:17">
      <c r="P230" t="s">
        <v>736</v>
      </c>
      <c r="Q230">
        <v>2021</v>
      </c>
    </row>
    <row r="231" spans="16:17">
      <c r="P231" t="s">
        <v>738</v>
      </c>
      <c r="Q231">
        <v>2021</v>
      </c>
    </row>
    <row r="232" spans="16:17">
      <c r="P232" t="s">
        <v>740</v>
      </c>
      <c r="Q232">
        <v>2021</v>
      </c>
    </row>
    <row r="233" spans="16:17">
      <c r="P233" t="s">
        <v>742</v>
      </c>
      <c r="Q233">
        <v>2021</v>
      </c>
    </row>
    <row r="234" spans="16:17">
      <c r="P234" t="s">
        <v>744</v>
      </c>
      <c r="Q234">
        <v>2021</v>
      </c>
    </row>
    <row r="235" spans="16:17">
      <c r="P235" t="s">
        <v>745</v>
      </c>
      <c r="Q235">
        <v>2021</v>
      </c>
    </row>
    <row r="236" spans="16:17">
      <c r="P236" t="s">
        <v>750</v>
      </c>
      <c r="Q236">
        <v>2021</v>
      </c>
    </row>
    <row r="237" spans="16:17">
      <c r="P237" t="s">
        <v>751</v>
      </c>
      <c r="Q237">
        <v>2021</v>
      </c>
    </row>
    <row r="238" spans="16:17">
      <c r="P238" t="s">
        <v>754</v>
      </c>
      <c r="Q238">
        <v>2021</v>
      </c>
    </row>
    <row r="239" spans="16:17">
      <c r="P239" t="s">
        <v>759</v>
      </c>
      <c r="Q239">
        <v>2021</v>
      </c>
    </row>
    <row r="240" spans="16:17">
      <c r="P240" t="s">
        <v>762</v>
      </c>
      <c r="Q240">
        <v>2021</v>
      </c>
    </row>
    <row r="241" spans="16:17">
      <c r="P241" t="s">
        <v>770</v>
      </c>
      <c r="Q241">
        <v>2021</v>
      </c>
    </row>
    <row r="242" spans="16:17">
      <c r="P242" t="s">
        <v>771</v>
      </c>
      <c r="Q242">
        <v>2021</v>
      </c>
    </row>
    <row r="243" spans="16:17">
      <c r="P243" t="s">
        <v>773</v>
      </c>
      <c r="Q243">
        <v>2021</v>
      </c>
    </row>
    <row r="244" spans="16:17">
      <c r="P244" t="s">
        <v>776</v>
      </c>
      <c r="Q244">
        <v>2021</v>
      </c>
    </row>
    <row r="245" spans="16:17">
      <c r="P245" t="s">
        <v>780</v>
      </c>
      <c r="Q245">
        <v>2021</v>
      </c>
    </row>
    <row r="246" spans="16:17">
      <c r="P246" t="s">
        <v>782</v>
      </c>
      <c r="Q246">
        <v>2021</v>
      </c>
    </row>
    <row r="247" spans="16:17">
      <c r="P247" t="s">
        <v>786</v>
      </c>
      <c r="Q247">
        <v>2021</v>
      </c>
    </row>
    <row r="248" spans="16:17">
      <c r="P248" t="s">
        <v>788</v>
      </c>
      <c r="Q248">
        <v>2021</v>
      </c>
    </row>
    <row r="249" spans="16:17">
      <c r="P249" t="s">
        <v>790</v>
      </c>
      <c r="Q249">
        <v>2021</v>
      </c>
    </row>
    <row r="250" spans="16:17">
      <c r="P250" t="s">
        <v>791</v>
      </c>
      <c r="Q250">
        <v>2021</v>
      </c>
    </row>
    <row r="251" spans="16:17">
      <c r="P251" t="s">
        <v>793</v>
      </c>
      <c r="Q251">
        <v>2021</v>
      </c>
    </row>
    <row r="252" spans="16:17">
      <c r="P252" t="s">
        <v>796</v>
      </c>
      <c r="Q252">
        <v>2021</v>
      </c>
    </row>
    <row r="253" spans="16:17">
      <c r="P253" t="s">
        <v>798</v>
      </c>
      <c r="Q253">
        <v>2021</v>
      </c>
    </row>
    <row r="254" spans="16:17">
      <c r="P254" t="s">
        <v>805</v>
      </c>
      <c r="Q254">
        <v>2021</v>
      </c>
    </row>
    <row r="255" spans="16:17">
      <c r="P255" t="s">
        <v>808</v>
      </c>
      <c r="Q255">
        <v>2021</v>
      </c>
    </row>
    <row r="256" spans="16:17">
      <c r="P256" t="s">
        <v>811</v>
      </c>
      <c r="Q256">
        <v>2021</v>
      </c>
    </row>
    <row r="257" spans="16:17">
      <c r="P257" t="s">
        <v>815</v>
      </c>
      <c r="Q257">
        <v>2021</v>
      </c>
    </row>
    <row r="258" spans="16:17">
      <c r="P258" t="s">
        <v>817</v>
      </c>
      <c r="Q258">
        <v>2021</v>
      </c>
    </row>
    <row r="259" spans="16:17">
      <c r="P259" t="s">
        <v>819</v>
      </c>
      <c r="Q259">
        <v>2021</v>
      </c>
    </row>
    <row r="260" spans="16:17">
      <c r="P260" t="s">
        <v>822</v>
      </c>
      <c r="Q260">
        <v>2021</v>
      </c>
    </row>
    <row r="261" spans="16:17">
      <c r="P261" t="s">
        <v>824</v>
      </c>
      <c r="Q261">
        <v>2021</v>
      </c>
    </row>
    <row r="262" spans="16:17">
      <c r="P262" t="s">
        <v>826</v>
      </c>
      <c r="Q262">
        <v>2021</v>
      </c>
    </row>
    <row r="263" spans="16:17">
      <c r="P263" t="s">
        <v>828</v>
      </c>
      <c r="Q263">
        <v>2021</v>
      </c>
    </row>
    <row r="264" spans="16:17">
      <c r="P264" t="s">
        <v>831</v>
      </c>
      <c r="Q264">
        <v>2021</v>
      </c>
    </row>
    <row r="265" spans="16:17">
      <c r="P265" t="s">
        <v>833</v>
      </c>
      <c r="Q265">
        <v>2021</v>
      </c>
    </row>
    <row r="266" spans="16:17">
      <c r="P266" t="s">
        <v>841</v>
      </c>
      <c r="Q266">
        <v>2021</v>
      </c>
    </row>
    <row r="267" spans="16:17">
      <c r="P267" t="s">
        <v>850</v>
      </c>
      <c r="Q267">
        <v>2021</v>
      </c>
    </row>
    <row r="268" spans="16:17">
      <c r="P268" t="s">
        <v>855</v>
      </c>
      <c r="Q268">
        <v>2021</v>
      </c>
    </row>
    <row r="269" spans="16:17">
      <c r="P269" t="s">
        <v>859</v>
      </c>
      <c r="Q269">
        <v>2021</v>
      </c>
    </row>
    <row r="270" spans="16:17">
      <c r="P270" t="s">
        <v>861</v>
      </c>
      <c r="Q270">
        <v>2021</v>
      </c>
    </row>
    <row r="271" spans="16:17">
      <c r="P271" t="s">
        <v>863</v>
      </c>
      <c r="Q271">
        <v>2021</v>
      </c>
    </row>
    <row r="272" spans="16:17">
      <c r="P272" t="s">
        <v>868</v>
      </c>
      <c r="Q272">
        <v>2021</v>
      </c>
    </row>
    <row r="273" spans="16:17">
      <c r="P273" t="s">
        <v>870</v>
      </c>
      <c r="Q273">
        <v>2021</v>
      </c>
    </row>
    <row r="274" spans="16:17">
      <c r="P274" t="s">
        <v>873</v>
      </c>
      <c r="Q274">
        <v>2021</v>
      </c>
    </row>
    <row r="275" spans="16:17">
      <c r="P275" t="s">
        <v>875</v>
      </c>
      <c r="Q275">
        <v>2021</v>
      </c>
    </row>
    <row r="276" spans="16:17">
      <c r="P276" t="s">
        <v>877</v>
      </c>
      <c r="Q276">
        <v>2021</v>
      </c>
    </row>
    <row r="277" spans="16:17">
      <c r="P277" t="s">
        <v>880</v>
      </c>
      <c r="Q277">
        <v>2021</v>
      </c>
    </row>
    <row r="278" spans="16:17">
      <c r="P278" t="s">
        <v>881</v>
      </c>
      <c r="Q278">
        <v>2021</v>
      </c>
    </row>
    <row r="279" spans="16:17">
      <c r="P279" t="s">
        <v>885</v>
      </c>
      <c r="Q279">
        <v>2021</v>
      </c>
    </row>
    <row r="280" spans="16:17">
      <c r="P280" t="s">
        <v>886</v>
      </c>
      <c r="Q280">
        <v>2021</v>
      </c>
    </row>
    <row r="281" spans="16:17">
      <c r="P281" t="s">
        <v>889</v>
      </c>
      <c r="Q281">
        <v>2021</v>
      </c>
    </row>
    <row r="282" spans="16:17">
      <c r="P282" t="s">
        <v>891</v>
      </c>
      <c r="Q282">
        <v>2021</v>
      </c>
    </row>
    <row r="283" spans="16:17">
      <c r="P283" t="s">
        <v>893</v>
      </c>
      <c r="Q283">
        <v>2021</v>
      </c>
    </row>
    <row r="284" spans="16:17">
      <c r="P284" t="s">
        <v>894</v>
      </c>
      <c r="Q284">
        <v>2021</v>
      </c>
    </row>
    <row r="285" spans="16:17">
      <c r="P285" t="s">
        <v>897</v>
      </c>
      <c r="Q285">
        <v>2021</v>
      </c>
    </row>
    <row r="286" spans="16:17">
      <c r="P286" t="s">
        <v>902</v>
      </c>
      <c r="Q286">
        <v>2021</v>
      </c>
    </row>
    <row r="287" spans="16:17">
      <c r="P287" t="s">
        <v>904</v>
      </c>
      <c r="Q287">
        <v>2021</v>
      </c>
    </row>
    <row r="288" spans="16:17">
      <c r="P288" t="s">
        <v>906</v>
      </c>
      <c r="Q288">
        <v>2021</v>
      </c>
    </row>
    <row r="289" spans="16:17">
      <c r="P289" t="s">
        <v>909</v>
      </c>
      <c r="Q289">
        <v>2021</v>
      </c>
    </row>
    <row r="290" spans="16:17">
      <c r="P290" t="s">
        <v>912</v>
      </c>
      <c r="Q290">
        <v>2021</v>
      </c>
    </row>
    <row r="291" spans="16:17">
      <c r="P291" t="s">
        <v>914</v>
      </c>
      <c r="Q291">
        <v>2021</v>
      </c>
    </row>
    <row r="292" spans="16:17">
      <c r="P292" t="s">
        <v>917</v>
      </c>
      <c r="Q292">
        <v>2021</v>
      </c>
    </row>
    <row r="293" spans="16:17">
      <c r="P293" t="s">
        <v>919</v>
      </c>
      <c r="Q293">
        <v>2021</v>
      </c>
    </row>
    <row r="294" spans="16:17">
      <c r="P294" t="s">
        <v>923</v>
      </c>
      <c r="Q294">
        <v>2021</v>
      </c>
    </row>
    <row r="295" spans="16:17">
      <c r="P295" t="s">
        <v>924</v>
      </c>
      <c r="Q295">
        <v>2021</v>
      </c>
    </row>
    <row r="296" spans="16:17">
      <c r="P296" t="s">
        <v>925</v>
      </c>
      <c r="Q296">
        <v>2021</v>
      </c>
    </row>
    <row r="297" spans="16:17">
      <c r="P297" t="s">
        <v>927</v>
      </c>
      <c r="Q297">
        <v>2021</v>
      </c>
    </row>
    <row r="298" spans="16:17">
      <c r="P298" t="s">
        <v>930</v>
      </c>
      <c r="Q298">
        <v>2021</v>
      </c>
    </row>
    <row r="299" spans="16:17">
      <c r="P299" t="s">
        <v>937</v>
      </c>
      <c r="Q299">
        <v>2021</v>
      </c>
    </row>
    <row r="300" spans="16:17">
      <c r="P300" t="s">
        <v>940</v>
      </c>
      <c r="Q300">
        <v>2021</v>
      </c>
    </row>
    <row r="301" spans="16:17">
      <c r="P301" t="s">
        <v>942</v>
      </c>
      <c r="Q301">
        <v>2021</v>
      </c>
    </row>
    <row r="302" spans="16:17">
      <c r="P302" t="s">
        <v>947</v>
      </c>
      <c r="Q302">
        <v>2021</v>
      </c>
    </row>
    <row r="303" spans="16:17">
      <c r="P303" t="s">
        <v>949</v>
      </c>
      <c r="Q303">
        <v>2021</v>
      </c>
    </row>
    <row r="304" spans="16:17">
      <c r="P304" t="s">
        <v>953</v>
      </c>
      <c r="Q304">
        <v>2021</v>
      </c>
    </row>
    <row r="305" spans="16:17">
      <c r="P305" t="s">
        <v>955</v>
      </c>
      <c r="Q305">
        <v>2021</v>
      </c>
    </row>
    <row r="306" spans="16:17">
      <c r="P306" t="s">
        <v>959</v>
      </c>
      <c r="Q306">
        <v>2021</v>
      </c>
    </row>
    <row r="307" spans="16:17">
      <c r="P307" t="s">
        <v>961</v>
      </c>
      <c r="Q307">
        <v>2021</v>
      </c>
    </row>
    <row r="308" spans="16:17">
      <c r="P308" t="s">
        <v>965</v>
      </c>
      <c r="Q308">
        <v>2021</v>
      </c>
    </row>
    <row r="309" spans="16:17">
      <c r="P309" t="s">
        <v>967</v>
      </c>
      <c r="Q309">
        <v>2021</v>
      </c>
    </row>
    <row r="310" spans="16:17">
      <c r="P310" t="s">
        <v>969</v>
      </c>
      <c r="Q310">
        <v>2021</v>
      </c>
    </row>
    <row r="311" spans="16:17">
      <c r="P311" t="s">
        <v>973</v>
      </c>
      <c r="Q311">
        <v>2021</v>
      </c>
    </row>
    <row r="312" spans="16:17">
      <c r="P312" t="s">
        <v>975</v>
      </c>
      <c r="Q312">
        <v>2021</v>
      </c>
    </row>
    <row r="313" spans="16:17">
      <c r="P313" t="s">
        <v>979</v>
      </c>
      <c r="Q313">
        <v>2021</v>
      </c>
    </row>
    <row r="314" spans="16:17">
      <c r="P314" t="s">
        <v>980</v>
      </c>
      <c r="Q314">
        <v>2021</v>
      </c>
    </row>
    <row r="315" spans="16:17">
      <c r="P315" t="s">
        <v>985</v>
      </c>
      <c r="Q315">
        <v>2021</v>
      </c>
    </row>
    <row r="316" spans="16:17">
      <c r="P316" t="s">
        <v>991</v>
      </c>
      <c r="Q316">
        <v>2021</v>
      </c>
    </row>
    <row r="317" spans="16:17">
      <c r="P317" t="s">
        <v>994</v>
      </c>
      <c r="Q317">
        <v>2021</v>
      </c>
    </row>
    <row r="318" spans="16:17">
      <c r="P318" t="s">
        <v>999</v>
      </c>
      <c r="Q318">
        <v>2021</v>
      </c>
    </row>
    <row r="319" spans="16:17">
      <c r="P319" t="s">
        <v>1005</v>
      </c>
      <c r="Q319">
        <v>2021</v>
      </c>
    </row>
    <row r="320" spans="16:17">
      <c r="P320" t="s">
        <v>1006</v>
      </c>
      <c r="Q320">
        <v>2021</v>
      </c>
    </row>
    <row r="321" spans="16:17">
      <c r="P321" t="s">
        <v>1007</v>
      </c>
      <c r="Q321">
        <v>2021</v>
      </c>
    </row>
    <row r="322" spans="16:17">
      <c r="P322" t="s">
        <v>1011</v>
      </c>
      <c r="Q322">
        <v>2021</v>
      </c>
    </row>
    <row r="323" spans="16:17">
      <c r="P323" t="s">
        <v>1014</v>
      </c>
      <c r="Q323">
        <v>2021</v>
      </c>
    </row>
    <row r="324" spans="16:17">
      <c r="P324" t="s">
        <v>1018</v>
      </c>
      <c r="Q324">
        <v>2021</v>
      </c>
    </row>
    <row r="325" spans="16:17">
      <c r="P325" t="s">
        <v>1025</v>
      </c>
      <c r="Q325">
        <v>2021</v>
      </c>
    </row>
    <row r="326" spans="16:17">
      <c r="P326" t="s">
        <v>1029</v>
      </c>
      <c r="Q326">
        <v>2021</v>
      </c>
    </row>
    <row r="327" spans="16:17">
      <c r="P327" t="s">
        <v>1035</v>
      </c>
      <c r="Q327">
        <v>2021</v>
      </c>
    </row>
    <row r="328" spans="16:17">
      <c r="P328" t="s">
        <v>1037</v>
      </c>
      <c r="Q328">
        <v>2021</v>
      </c>
    </row>
    <row r="329" spans="16:17">
      <c r="P329" t="s">
        <v>1040</v>
      </c>
      <c r="Q329">
        <v>2021</v>
      </c>
    </row>
    <row r="330" spans="16:17">
      <c r="P330" t="s">
        <v>1044</v>
      </c>
      <c r="Q330">
        <v>2021</v>
      </c>
    </row>
    <row r="331" spans="16:17">
      <c r="P331" t="s">
        <v>1046</v>
      </c>
      <c r="Q331">
        <v>2021</v>
      </c>
    </row>
    <row r="332" spans="16:17">
      <c r="P332" t="s">
        <v>1048</v>
      </c>
      <c r="Q332">
        <v>2021</v>
      </c>
    </row>
    <row r="333" spans="16:17">
      <c r="P333" t="s">
        <v>1053</v>
      </c>
      <c r="Q333">
        <v>2021</v>
      </c>
    </row>
    <row r="334" spans="16:17">
      <c r="P334" t="s">
        <v>1057</v>
      </c>
      <c r="Q334">
        <v>2021</v>
      </c>
    </row>
    <row r="335" spans="16:17">
      <c r="P335" t="s">
        <v>1066</v>
      </c>
      <c r="Q335">
        <v>2021</v>
      </c>
    </row>
    <row r="336" spans="16:17">
      <c r="P336" t="s">
        <v>1069</v>
      </c>
      <c r="Q336">
        <v>2021</v>
      </c>
    </row>
    <row r="337" spans="16:17">
      <c r="P337" t="s">
        <v>1072</v>
      </c>
      <c r="Q337">
        <v>2021</v>
      </c>
    </row>
    <row r="338" spans="16:17">
      <c r="P338" t="s">
        <v>1076</v>
      </c>
      <c r="Q338">
        <v>2021</v>
      </c>
    </row>
    <row r="339" spans="16:17">
      <c r="P339" t="s">
        <v>1078</v>
      </c>
      <c r="Q339">
        <v>2021</v>
      </c>
    </row>
    <row r="340" spans="16:17">
      <c r="P340" t="s">
        <v>1079</v>
      </c>
      <c r="Q340">
        <v>2021</v>
      </c>
    </row>
    <row r="341" spans="16:17">
      <c r="P341" t="s">
        <v>1081</v>
      </c>
      <c r="Q341">
        <v>2021</v>
      </c>
    </row>
    <row r="342" spans="16:17">
      <c r="P342" t="s">
        <v>1086</v>
      </c>
      <c r="Q342">
        <v>2021</v>
      </c>
    </row>
    <row r="343" spans="16:17">
      <c r="P343" t="s">
        <v>1090</v>
      </c>
      <c r="Q343">
        <v>2021</v>
      </c>
    </row>
    <row r="344" spans="16:17">
      <c r="P344" t="s">
        <v>1095</v>
      </c>
      <c r="Q344">
        <v>2021</v>
      </c>
    </row>
    <row r="345" spans="16:17">
      <c r="P345" t="s">
        <v>1097</v>
      </c>
      <c r="Q345">
        <v>2021</v>
      </c>
    </row>
    <row r="346" spans="16:17">
      <c r="P346" t="s">
        <v>1099</v>
      </c>
      <c r="Q346">
        <v>2021</v>
      </c>
    </row>
    <row r="347" spans="16:17">
      <c r="P347" t="s">
        <v>1101</v>
      </c>
      <c r="Q347">
        <v>2021</v>
      </c>
    </row>
    <row r="348" spans="16:17">
      <c r="P348" t="s">
        <v>1104</v>
      </c>
      <c r="Q348">
        <v>2021</v>
      </c>
    </row>
    <row r="349" spans="16:17">
      <c r="P349" t="s">
        <v>1106</v>
      </c>
      <c r="Q349">
        <v>2021</v>
      </c>
    </row>
    <row r="350" spans="16:17">
      <c r="P350" t="s">
        <v>1113</v>
      </c>
      <c r="Q350">
        <v>2021</v>
      </c>
    </row>
    <row r="351" spans="16:17">
      <c r="P351" t="s">
        <v>1115</v>
      </c>
      <c r="Q351">
        <v>2021</v>
      </c>
    </row>
    <row r="352" spans="16:17">
      <c r="P352" t="s">
        <v>1117</v>
      </c>
      <c r="Q352">
        <v>2021</v>
      </c>
    </row>
    <row r="353" spans="16:17">
      <c r="P353" t="s">
        <v>1123</v>
      </c>
      <c r="Q353">
        <v>2021</v>
      </c>
    </row>
    <row r="354" spans="16:17">
      <c r="P354" t="s">
        <v>1124</v>
      </c>
      <c r="Q354">
        <v>2021</v>
      </c>
    </row>
    <row r="355" spans="16:17">
      <c r="P355" t="s">
        <v>1131</v>
      </c>
      <c r="Q355">
        <v>2021</v>
      </c>
    </row>
    <row r="356" spans="16:17">
      <c r="P356" t="s">
        <v>1133</v>
      </c>
      <c r="Q356">
        <v>2021</v>
      </c>
    </row>
    <row r="357" spans="16:17">
      <c r="P357" t="s">
        <v>1140</v>
      </c>
      <c r="Q357">
        <v>2021</v>
      </c>
    </row>
    <row r="358" spans="16:17">
      <c r="P358" t="s">
        <v>1142</v>
      </c>
      <c r="Q358">
        <v>2021</v>
      </c>
    </row>
    <row r="359" spans="16:17">
      <c r="P359" t="s">
        <v>1145</v>
      </c>
      <c r="Q359">
        <v>2021</v>
      </c>
    </row>
    <row r="360" spans="16:17">
      <c r="P360" t="s">
        <v>1147</v>
      </c>
      <c r="Q360">
        <v>2021</v>
      </c>
    </row>
    <row r="361" spans="16:17">
      <c r="P361" t="s">
        <v>1150</v>
      </c>
      <c r="Q361">
        <v>2021</v>
      </c>
    </row>
    <row r="362" spans="16:17">
      <c r="P362" t="s">
        <v>1153</v>
      </c>
      <c r="Q362">
        <v>2021</v>
      </c>
    </row>
    <row r="363" spans="16:17">
      <c r="P363" t="s">
        <v>1154</v>
      </c>
      <c r="Q363">
        <v>2021</v>
      </c>
    </row>
    <row r="364" spans="16:17">
      <c r="P364" t="s">
        <v>1163</v>
      </c>
      <c r="Q364">
        <v>2021</v>
      </c>
    </row>
    <row r="365" spans="16:17">
      <c r="P365" t="s">
        <v>1165</v>
      </c>
      <c r="Q365">
        <v>2021</v>
      </c>
    </row>
    <row r="366" spans="16:17">
      <c r="P366" t="s">
        <v>1166</v>
      </c>
      <c r="Q366">
        <v>2021</v>
      </c>
    </row>
    <row r="367" spans="16:17">
      <c r="P367" t="s">
        <v>1169</v>
      </c>
      <c r="Q367">
        <v>2021</v>
      </c>
    </row>
    <row r="368" spans="16:17">
      <c r="P368" t="s">
        <v>1174</v>
      </c>
      <c r="Q368">
        <v>2021</v>
      </c>
    </row>
    <row r="369" spans="16:17">
      <c r="P369" t="s">
        <v>1175</v>
      </c>
      <c r="Q369">
        <v>2021</v>
      </c>
    </row>
    <row r="370" spans="16:17">
      <c r="P370" t="s">
        <v>1179</v>
      </c>
      <c r="Q370">
        <v>2021</v>
      </c>
    </row>
    <row r="371" spans="16:17">
      <c r="P371" t="s">
        <v>1180</v>
      </c>
      <c r="Q371">
        <v>2021</v>
      </c>
    </row>
    <row r="372" spans="16:17">
      <c r="P372" t="s">
        <v>1183</v>
      </c>
      <c r="Q372">
        <v>2021</v>
      </c>
    </row>
    <row r="373" spans="16:17">
      <c r="P373" t="s">
        <v>1185</v>
      </c>
      <c r="Q373">
        <v>2021</v>
      </c>
    </row>
    <row r="374" spans="16:17">
      <c r="P374" t="s">
        <v>1188</v>
      </c>
      <c r="Q374">
        <v>2021</v>
      </c>
    </row>
    <row r="375" spans="16:17">
      <c r="P375" t="s">
        <v>1192</v>
      </c>
      <c r="Q375">
        <v>2021</v>
      </c>
    </row>
    <row r="376" spans="16:17">
      <c r="P376" t="s">
        <v>1195</v>
      </c>
      <c r="Q376">
        <v>2021</v>
      </c>
    </row>
    <row r="377" spans="16:17">
      <c r="P377" t="s">
        <v>1198</v>
      </c>
      <c r="Q377">
        <v>2021</v>
      </c>
    </row>
    <row r="378" spans="16:17">
      <c r="P378" t="s">
        <v>1200</v>
      </c>
      <c r="Q378">
        <v>2021</v>
      </c>
    </row>
    <row r="379" spans="16:17">
      <c r="P379" t="s">
        <v>1202</v>
      </c>
      <c r="Q379">
        <v>2021</v>
      </c>
    </row>
    <row r="380" spans="16:17">
      <c r="P380" t="s">
        <v>1209</v>
      </c>
      <c r="Q380">
        <v>2021</v>
      </c>
    </row>
    <row r="381" spans="16:17">
      <c r="P381" t="s">
        <v>1211</v>
      </c>
      <c r="Q381">
        <v>2021</v>
      </c>
    </row>
    <row r="382" spans="16:17">
      <c r="P382" t="s">
        <v>1213</v>
      </c>
      <c r="Q382">
        <v>2021</v>
      </c>
    </row>
    <row r="383" spans="16:17">
      <c r="P383" t="s">
        <v>1214</v>
      </c>
      <c r="Q383">
        <v>2021</v>
      </c>
    </row>
    <row r="384" spans="16:17">
      <c r="P384" t="s">
        <v>1216</v>
      </c>
      <c r="Q384">
        <v>2021</v>
      </c>
    </row>
    <row r="385" spans="16:17">
      <c r="P385" t="s">
        <v>1223</v>
      </c>
      <c r="Q385">
        <v>2021</v>
      </c>
    </row>
    <row r="386" spans="16:17">
      <c r="P386" t="s">
        <v>1225</v>
      </c>
      <c r="Q386">
        <v>2021</v>
      </c>
    </row>
    <row r="387" spans="16:17">
      <c r="P387" t="s">
        <v>1232</v>
      </c>
      <c r="Q387">
        <v>2021</v>
      </c>
    </row>
    <row r="388" spans="16:17">
      <c r="P388" t="s">
        <v>1236</v>
      </c>
      <c r="Q388">
        <v>2021</v>
      </c>
    </row>
    <row r="389" spans="16:17">
      <c r="P389" t="s">
        <v>1243</v>
      </c>
      <c r="Q389">
        <v>2021</v>
      </c>
    </row>
    <row r="390" spans="16:17">
      <c r="P390" t="s">
        <v>1244</v>
      </c>
      <c r="Q390">
        <v>2021</v>
      </c>
    </row>
    <row r="391" spans="16:17">
      <c r="P391" t="s">
        <v>1251</v>
      </c>
      <c r="Q391">
        <v>2021</v>
      </c>
    </row>
    <row r="392" spans="16:17">
      <c r="P392" t="s">
        <v>1253</v>
      </c>
      <c r="Q392">
        <v>2021</v>
      </c>
    </row>
    <row r="393" spans="16:17">
      <c r="P393" t="s">
        <v>1256</v>
      </c>
      <c r="Q393">
        <v>2021</v>
      </c>
    </row>
    <row r="394" spans="16:17">
      <c r="P394" t="s">
        <v>1260</v>
      </c>
      <c r="Q394">
        <v>2021</v>
      </c>
    </row>
    <row r="395" spans="16:17">
      <c r="P395" t="s">
        <v>1262</v>
      </c>
      <c r="Q395">
        <v>2021</v>
      </c>
    </row>
    <row r="396" spans="16:17">
      <c r="P396" t="s">
        <v>1265</v>
      </c>
      <c r="Q396">
        <v>2021</v>
      </c>
    </row>
    <row r="397" spans="16:17">
      <c r="P397" t="s">
        <v>1269</v>
      </c>
      <c r="Q397">
        <v>2021</v>
      </c>
    </row>
    <row r="398" spans="16:17">
      <c r="P398" t="s">
        <v>1273</v>
      </c>
      <c r="Q398">
        <v>2021</v>
      </c>
    </row>
    <row r="399" spans="16:17">
      <c r="P399" t="s">
        <v>1275</v>
      </c>
      <c r="Q399">
        <v>2021</v>
      </c>
    </row>
    <row r="400" spans="16:17">
      <c r="P400" t="s">
        <v>1277</v>
      </c>
      <c r="Q400">
        <v>2021</v>
      </c>
    </row>
    <row r="401" spans="16:17">
      <c r="P401" t="s">
        <v>1279</v>
      </c>
      <c r="Q401">
        <v>2021</v>
      </c>
    </row>
    <row r="402" spans="16:17">
      <c r="P402" t="s">
        <v>1281</v>
      </c>
      <c r="Q402">
        <v>2021</v>
      </c>
    </row>
    <row r="403" spans="16:17">
      <c r="P403" t="s">
        <v>1284</v>
      </c>
      <c r="Q403">
        <v>2021</v>
      </c>
    </row>
    <row r="404" spans="16:17">
      <c r="P404" t="s">
        <v>1288</v>
      </c>
      <c r="Q404">
        <v>2021</v>
      </c>
    </row>
    <row r="405" spans="16:17">
      <c r="P405" t="s">
        <v>1289</v>
      </c>
      <c r="Q405">
        <v>2021</v>
      </c>
    </row>
    <row r="406" spans="16:17">
      <c r="P406" t="s">
        <v>1290</v>
      </c>
      <c r="Q406">
        <v>2021</v>
      </c>
    </row>
    <row r="407" spans="16:17">
      <c r="P407" t="s">
        <v>1291</v>
      </c>
      <c r="Q407">
        <v>2021</v>
      </c>
    </row>
    <row r="408" spans="16:17">
      <c r="P408" t="s">
        <v>1297</v>
      </c>
      <c r="Q408">
        <v>2021</v>
      </c>
    </row>
    <row r="409" spans="16:17">
      <c r="P409" t="s">
        <v>1300</v>
      </c>
      <c r="Q409">
        <v>2021</v>
      </c>
    </row>
    <row r="410" spans="16:17">
      <c r="P410" t="s">
        <v>1303</v>
      </c>
      <c r="Q410">
        <v>2021</v>
      </c>
    </row>
    <row r="411" spans="16:17">
      <c r="P411" t="s">
        <v>1305</v>
      </c>
      <c r="Q411">
        <v>2021</v>
      </c>
    </row>
    <row r="412" spans="16:17">
      <c r="P412" t="s">
        <v>1312</v>
      </c>
      <c r="Q412">
        <v>2021</v>
      </c>
    </row>
    <row r="413" spans="16:17">
      <c r="P413" t="s">
        <v>1314</v>
      </c>
      <c r="Q413">
        <v>2021</v>
      </c>
    </row>
    <row r="414" spans="16:17">
      <c r="P414" t="s">
        <v>1322</v>
      </c>
      <c r="Q414">
        <v>2021</v>
      </c>
    </row>
    <row r="415" spans="16:17">
      <c r="P415" t="s">
        <v>1329</v>
      </c>
      <c r="Q415">
        <v>2021</v>
      </c>
    </row>
    <row r="416" spans="16:17">
      <c r="P416" t="s">
        <v>1332</v>
      </c>
      <c r="Q416">
        <v>2021</v>
      </c>
    </row>
    <row r="417" spans="16:17">
      <c r="P417" t="s">
        <v>1334</v>
      </c>
      <c r="Q417">
        <v>2021</v>
      </c>
    </row>
    <row r="418" spans="16:17">
      <c r="P418" t="s">
        <v>1336</v>
      </c>
      <c r="Q418">
        <v>2021</v>
      </c>
    </row>
    <row r="419" spans="16:17">
      <c r="P419" t="s">
        <v>1337</v>
      </c>
      <c r="Q419">
        <v>2021</v>
      </c>
    </row>
    <row r="420" spans="16:17">
      <c r="P420" t="s">
        <v>1340</v>
      </c>
      <c r="Q420">
        <v>2021</v>
      </c>
    </row>
    <row r="421" spans="16:17">
      <c r="P421" t="s">
        <v>1341</v>
      </c>
      <c r="Q421">
        <v>2021</v>
      </c>
    </row>
    <row r="422" spans="16:17">
      <c r="P422" t="s">
        <v>1343</v>
      </c>
      <c r="Q422">
        <v>2021</v>
      </c>
    </row>
    <row r="423" spans="16:17">
      <c r="P423" t="s">
        <v>1345</v>
      </c>
      <c r="Q423">
        <v>2021</v>
      </c>
    </row>
    <row r="424" spans="16:17">
      <c r="P424" t="s">
        <v>1348</v>
      </c>
      <c r="Q424">
        <v>2021</v>
      </c>
    </row>
    <row r="425" spans="16:17">
      <c r="P425" t="s">
        <v>1358</v>
      </c>
      <c r="Q425">
        <v>2021</v>
      </c>
    </row>
    <row r="426" spans="16:17">
      <c r="P426" t="s">
        <v>1359</v>
      </c>
      <c r="Q426">
        <v>2021</v>
      </c>
    </row>
    <row r="427" spans="16:17">
      <c r="P427" t="s">
        <v>1361</v>
      </c>
      <c r="Q427">
        <v>2021</v>
      </c>
    </row>
    <row r="428" spans="16:17">
      <c r="P428" t="s">
        <v>1363</v>
      </c>
      <c r="Q428">
        <v>2021</v>
      </c>
    </row>
    <row r="429" spans="16:17">
      <c r="P429" t="s">
        <v>1370</v>
      </c>
      <c r="Q429">
        <v>2021</v>
      </c>
    </row>
    <row r="430" spans="16:17">
      <c r="P430" t="s">
        <v>1371</v>
      </c>
      <c r="Q430">
        <v>2021</v>
      </c>
    </row>
    <row r="431" spans="16:17">
      <c r="P431" t="s">
        <v>1373</v>
      </c>
      <c r="Q431">
        <v>2021</v>
      </c>
    </row>
    <row r="432" spans="16:17">
      <c r="P432" t="s">
        <v>1375</v>
      </c>
      <c r="Q432">
        <v>2021</v>
      </c>
    </row>
    <row r="433" spans="16:17">
      <c r="P433" t="s">
        <v>1377</v>
      </c>
      <c r="Q433">
        <v>2021</v>
      </c>
    </row>
    <row r="434" spans="16:17">
      <c r="P434" t="s">
        <v>1380</v>
      </c>
      <c r="Q434">
        <v>2021</v>
      </c>
    </row>
    <row r="435" spans="16:17">
      <c r="P435" t="s">
        <v>1383</v>
      </c>
      <c r="Q435">
        <v>2021</v>
      </c>
    </row>
    <row r="436" spans="16:17">
      <c r="P436" t="s">
        <v>1385</v>
      </c>
      <c r="Q436">
        <v>2021</v>
      </c>
    </row>
    <row r="437" spans="16:17">
      <c r="P437" t="s">
        <v>1387</v>
      </c>
      <c r="Q437">
        <v>2021</v>
      </c>
    </row>
    <row r="438" spans="16:17">
      <c r="P438" t="s">
        <v>1394</v>
      </c>
      <c r="Q438">
        <v>2021</v>
      </c>
    </row>
    <row r="439" spans="16:17">
      <c r="P439" t="s">
        <v>1395</v>
      </c>
      <c r="Q439">
        <v>2021</v>
      </c>
    </row>
    <row r="440" spans="16:17">
      <c r="P440" t="s">
        <v>1396</v>
      </c>
      <c r="Q440">
        <v>2021</v>
      </c>
    </row>
    <row r="441" spans="16:17">
      <c r="P441" t="s">
        <v>1403</v>
      </c>
      <c r="Q441">
        <v>2021</v>
      </c>
    </row>
    <row r="442" spans="16:17">
      <c r="P442" t="s">
        <v>1407</v>
      </c>
      <c r="Q442">
        <v>2021</v>
      </c>
    </row>
    <row r="443" spans="16:17">
      <c r="P443" t="s">
        <v>1410</v>
      </c>
      <c r="Q443">
        <v>2021</v>
      </c>
    </row>
    <row r="444" spans="16:17">
      <c r="P444" t="s">
        <v>1414</v>
      </c>
      <c r="Q444">
        <v>2021</v>
      </c>
    </row>
    <row r="445" spans="16:17">
      <c r="P445" t="s">
        <v>1415</v>
      </c>
      <c r="Q445">
        <v>2021</v>
      </c>
    </row>
    <row r="446" spans="16:17">
      <c r="P446" t="s">
        <v>1416</v>
      </c>
      <c r="Q446">
        <v>2021</v>
      </c>
    </row>
    <row r="447" spans="16:17">
      <c r="P447" t="s">
        <v>1419</v>
      </c>
      <c r="Q447">
        <v>2021</v>
      </c>
    </row>
    <row r="448" spans="16:17">
      <c r="P448" t="s">
        <v>1425</v>
      </c>
      <c r="Q448">
        <v>2021</v>
      </c>
    </row>
    <row r="449" spans="16:17">
      <c r="P449" t="s">
        <v>1426</v>
      </c>
      <c r="Q449">
        <v>2021</v>
      </c>
    </row>
    <row r="450" spans="16:17">
      <c r="P450" t="s">
        <v>1428</v>
      </c>
      <c r="Q450">
        <v>2021</v>
      </c>
    </row>
    <row r="451" spans="16:17">
      <c r="P451" t="s">
        <v>1431</v>
      </c>
      <c r="Q451">
        <v>2021</v>
      </c>
    </row>
    <row r="452" spans="16:17">
      <c r="P452" t="s">
        <v>1433</v>
      </c>
      <c r="Q452">
        <v>2021</v>
      </c>
    </row>
    <row r="453" spans="16:17">
      <c r="P453" t="s">
        <v>1435</v>
      </c>
      <c r="Q453">
        <v>2021</v>
      </c>
    </row>
    <row r="454" spans="16:17">
      <c r="P454" t="s">
        <v>1438</v>
      </c>
      <c r="Q454">
        <v>2021</v>
      </c>
    </row>
    <row r="455" spans="16:17">
      <c r="P455" t="s">
        <v>1440</v>
      </c>
      <c r="Q455">
        <v>2021</v>
      </c>
    </row>
    <row r="456" spans="16:17">
      <c r="P456" t="s">
        <v>1445</v>
      </c>
      <c r="Q456">
        <v>2021</v>
      </c>
    </row>
    <row r="457" spans="16:17">
      <c r="P457" t="s">
        <v>1448</v>
      </c>
      <c r="Q457">
        <v>2021</v>
      </c>
    </row>
    <row r="458" spans="16:17">
      <c r="P458" t="s">
        <v>1450</v>
      </c>
      <c r="Q458">
        <v>2021</v>
      </c>
    </row>
    <row r="459" spans="16:17">
      <c r="P459" t="s">
        <v>1454</v>
      </c>
      <c r="Q459">
        <v>2021</v>
      </c>
    </row>
    <row r="460" spans="16:17">
      <c r="P460" t="s">
        <v>1459</v>
      </c>
      <c r="Q460">
        <v>2021</v>
      </c>
    </row>
    <row r="461" spans="16:17">
      <c r="P461" t="s">
        <v>1461</v>
      </c>
      <c r="Q461">
        <v>2021</v>
      </c>
    </row>
    <row r="462" spans="16:17">
      <c r="P462" t="s">
        <v>1465</v>
      </c>
      <c r="Q462">
        <v>2021</v>
      </c>
    </row>
    <row r="463" spans="16:17">
      <c r="P463" t="s">
        <v>1468</v>
      </c>
      <c r="Q463">
        <v>2021</v>
      </c>
    </row>
    <row r="464" spans="16:17">
      <c r="P464" t="s">
        <v>1469</v>
      </c>
      <c r="Q464">
        <v>2021</v>
      </c>
    </row>
    <row r="465" spans="16:17">
      <c r="P465" t="s">
        <v>1473</v>
      </c>
      <c r="Q465">
        <v>2021</v>
      </c>
    </row>
    <row r="466" spans="16:17">
      <c r="P466" t="s">
        <v>1476</v>
      </c>
      <c r="Q466">
        <v>2021</v>
      </c>
    </row>
    <row r="467" spans="16:17">
      <c r="P467" t="s">
        <v>1477</v>
      </c>
      <c r="Q467">
        <v>2021</v>
      </c>
    </row>
    <row r="468" spans="16:17">
      <c r="P468" t="s">
        <v>1479</v>
      </c>
      <c r="Q468">
        <v>2021</v>
      </c>
    </row>
    <row r="469" spans="16:17">
      <c r="P469" t="s">
        <v>1480</v>
      </c>
      <c r="Q469">
        <v>2021</v>
      </c>
    </row>
    <row r="470" spans="16:17">
      <c r="P470" t="s">
        <v>1485</v>
      </c>
      <c r="Q470">
        <v>2021</v>
      </c>
    </row>
    <row r="471" spans="16:17">
      <c r="P471" t="s">
        <v>1487</v>
      </c>
      <c r="Q471">
        <v>2021</v>
      </c>
    </row>
    <row r="472" spans="16:17">
      <c r="P472" t="s">
        <v>1489</v>
      </c>
      <c r="Q472">
        <v>2021</v>
      </c>
    </row>
    <row r="473" spans="16:17">
      <c r="P473" t="s">
        <v>1491</v>
      </c>
      <c r="Q473">
        <v>2021</v>
      </c>
    </row>
    <row r="474" spans="16:17">
      <c r="P474" t="s">
        <v>1496</v>
      </c>
      <c r="Q474">
        <v>2021</v>
      </c>
    </row>
    <row r="475" spans="16:17">
      <c r="P475" t="s">
        <v>1497</v>
      </c>
      <c r="Q475">
        <v>2021</v>
      </c>
    </row>
    <row r="476" spans="16:17">
      <c r="P476" t="s">
        <v>1499</v>
      </c>
      <c r="Q476">
        <v>2021</v>
      </c>
    </row>
    <row r="477" spans="16:17">
      <c r="P477" t="s">
        <v>1504</v>
      </c>
      <c r="Q477">
        <v>2021</v>
      </c>
    </row>
    <row r="478" spans="16:17">
      <c r="P478" t="s">
        <v>1507</v>
      </c>
      <c r="Q478">
        <v>2021</v>
      </c>
    </row>
    <row r="479" spans="16:17">
      <c r="P479" t="s">
        <v>1509</v>
      </c>
      <c r="Q479">
        <v>2021</v>
      </c>
    </row>
    <row r="480" spans="16:17">
      <c r="P480" t="s">
        <v>1513</v>
      </c>
      <c r="Q480">
        <v>2021</v>
      </c>
    </row>
    <row r="481" spans="16:17">
      <c r="P481" t="s">
        <v>1515</v>
      </c>
      <c r="Q481">
        <v>2021</v>
      </c>
    </row>
    <row r="482" spans="16:17">
      <c r="P482" t="s">
        <v>1516</v>
      </c>
      <c r="Q482">
        <v>2021</v>
      </c>
    </row>
    <row r="483" spans="16:17">
      <c r="P483" t="s">
        <v>1519</v>
      </c>
      <c r="Q483">
        <v>2021</v>
      </c>
    </row>
    <row r="484" spans="16:17">
      <c r="P484" t="s">
        <v>1521</v>
      </c>
      <c r="Q484">
        <v>2021</v>
      </c>
    </row>
    <row r="485" spans="16:17">
      <c r="P485" t="s">
        <v>1523</v>
      </c>
      <c r="Q485">
        <v>2021</v>
      </c>
    </row>
    <row r="486" spans="16:17">
      <c r="P486" t="s">
        <v>1530</v>
      </c>
      <c r="Q486">
        <v>2021</v>
      </c>
    </row>
    <row r="487" spans="16:17">
      <c r="P487" t="s">
        <v>1536</v>
      </c>
      <c r="Q487">
        <v>2021</v>
      </c>
    </row>
    <row r="488" spans="16:17">
      <c r="P488" t="s">
        <v>1537</v>
      </c>
      <c r="Q488">
        <v>2021</v>
      </c>
    </row>
    <row r="489" spans="16:17">
      <c r="P489" t="s">
        <v>1540</v>
      </c>
      <c r="Q489">
        <v>2021</v>
      </c>
    </row>
    <row r="490" spans="16:17">
      <c r="P490" t="s">
        <v>1543</v>
      </c>
      <c r="Q490">
        <v>2021</v>
      </c>
    </row>
    <row r="491" spans="16:17">
      <c r="P491" t="s">
        <v>1546</v>
      </c>
      <c r="Q491">
        <v>2021</v>
      </c>
    </row>
    <row r="492" spans="16:17">
      <c r="P492" t="s">
        <v>1548</v>
      </c>
      <c r="Q492">
        <v>2021</v>
      </c>
    </row>
    <row r="493" spans="16:17">
      <c r="P493" t="s">
        <v>1549</v>
      </c>
      <c r="Q493">
        <v>2021</v>
      </c>
    </row>
    <row r="494" spans="16:17">
      <c r="P494" t="s">
        <v>1550</v>
      </c>
      <c r="Q494">
        <v>2021</v>
      </c>
    </row>
    <row r="495" spans="16:17">
      <c r="P495" t="s">
        <v>1552</v>
      </c>
      <c r="Q495">
        <v>2021</v>
      </c>
    </row>
    <row r="496" spans="16:17">
      <c r="P496" t="s">
        <v>1557</v>
      </c>
      <c r="Q496">
        <v>2021</v>
      </c>
    </row>
    <row r="497" spans="16:17">
      <c r="P497" t="s">
        <v>1559</v>
      </c>
      <c r="Q497">
        <v>2021</v>
      </c>
    </row>
    <row r="498" spans="16:17">
      <c r="P498" t="s">
        <v>1564</v>
      </c>
      <c r="Q498">
        <v>2021</v>
      </c>
    </row>
    <row r="499" spans="16:17">
      <c r="P499" t="s">
        <v>1565</v>
      </c>
      <c r="Q499">
        <v>2021</v>
      </c>
    </row>
    <row r="500" spans="16:17">
      <c r="P500" t="s">
        <v>1570</v>
      </c>
      <c r="Q500">
        <v>2021</v>
      </c>
    </row>
    <row r="501" spans="16:17">
      <c r="P501" t="s">
        <v>1573</v>
      </c>
      <c r="Q501">
        <v>2021</v>
      </c>
    </row>
    <row r="502" spans="16:17">
      <c r="P502" t="s">
        <v>1576</v>
      </c>
      <c r="Q502">
        <v>2021</v>
      </c>
    </row>
    <row r="503" spans="16:17">
      <c r="P503" t="s">
        <v>1578</v>
      </c>
      <c r="Q503">
        <v>2021</v>
      </c>
    </row>
    <row r="504" spans="16:17">
      <c r="P504" t="s">
        <v>1586</v>
      </c>
      <c r="Q504">
        <v>2021</v>
      </c>
    </row>
    <row r="505" spans="16:17">
      <c r="P505" t="s">
        <v>1595</v>
      </c>
      <c r="Q505">
        <v>2021</v>
      </c>
    </row>
    <row r="506" spans="16:17">
      <c r="P506" t="s">
        <v>1597</v>
      </c>
      <c r="Q506">
        <v>2021</v>
      </c>
    </row>
    <row r="507" spans="16:17">
      <c r="P507" t="s">
        <v>1600</v>
      </c>
      <c r="Q507">
        <v>2021</v>
      </c>
    </row>
    <row r="508" spans="16:17">
      <c r="P508" t="s">
        <v>1612</v>
      </c>
      <c r="Q508">
        <v>2021</v>
      </c>
    </row>
    <row r="509" spans="16:17">
      <c r="P509" t="s">
        <v>1616</v>
      </c>
      <c r="Q509">
        <v>2021</v>
      </c>
    </row>
    <row r="510" spans="16:17">
      <c r="P510" t="s">
        <v>1618</v>
      </c>
      <c r="Q510">
        <v>2021</v>
      </c>
    </row>
    <row r="511" spans="16:17">
      <c r="P511" t="s">
        <v>1619</v>
      </c>
      <c r="Q511">
        <v>2021</v>
      </c>
    </row>
    <row r="512" spans="16:17">
      <c r="P512" t="s">
        <v>1620</v>
      </c>
      <c r="Q512">
        <v>2021</v>
      </c>
    </row>
    <row r="513" spans="16:17">
      <c r="P513" t="s">
        <v>1622</v>
      </c>
      <c r="Q513">
        <v>2021</v>
      </c>
    </row>
    <row r="514" spans="16:17">
      <c r="P514" t="s">
        <v>1625</v>
      </c>
      <c r="Q514">
        <v>2021</v>
      </c>
    </row>
    <row r="515" spans="16:17">
      <c r="P515" t="s">
        <v>1627</v>
      </c>
      <c r="Q515">
        <v>2021</v>
      </c>
    </row>
    <row r="516" spans="16:17">
      <c r="P516" t="s">
        <v>1631</v>
      </c>
      <c r="Q516">
        <v>2021</v>
      </c>
    </row>
    <row r="517" spans="16:17">
      <c r="P517" t="s">
        <v>1633</v>
      </c>
      <c r="Q517">
        <v>2021</v>
      </c>
    </row>
    <row r="518" spans="16:17">
      <c r="P518" t="s">
        <v>1635</v>
      </c>
      <c r="Q518">
        <v>2021</v>
      </c>
    </row>
    <row r="519" spans="16:17">
      <c r="P519" t="s">
        <v>1637</v>
      </c>
      <c r="Q519">
        <v>2021</v>
      </c>
    </row>
    <row r="520" spans="16:17">
      <c r="P520" t="s">
        <v>1640</v>
      </c>
      <c r="Q520">
        <v>2021</v>
      </c>
    </row>
    <row r="521" spans="16:17">
      <c r="P521" t="s">
        <v>1643</v>
      </c>
      <c r="Q521">
        <v>2021</v>
      </c>
    </row>
    <row r="522" spans="16:17">
      <c r="P522" t="s">
        <v>1645</v>
      </c>
      <c r="Q522">
        <v>2021</v>
      </c>
    </row>
    <row r="523" spans="16:17">
      <c r="P523" t="s">
        <v>1650</v>
      </c>
      <c r="Q523">
        <v>2021</v>
      </c>
    </row>
    <row r="524" spans="16:17">
      <c r="P524" t="s">
        <v>1654</v>
      </c>
      <c r="Q524">
        <v>2021</v>
      </c>
    </row>
    <row r="525" spans="16:17">
      <c r="P525" t="s">
        <v>1657</v>
      </c>
      <c r="Q525">
        <v>2021</v>
      </c>
    </row>
    <row r="526" spans="16:17">
      <c r="P526" t="s">
        <v>1659</v>
      </c>
      <c r="Q526">
        <v>2021</v>
      </c>
    </row>
    <row r="527" spans="16:17">
      <c r="P527" t="s">
        <v>1663</v>
      </c>
      <c r="Q527">
        <v>2021</v>
      </c>
    </row>
    <row r="528" spans="16:17">
      <c r="P528" t="s">
        <v>1664</v>
      </c>
      <c r="Q528">
        <v>2021</v>
      </c>
    </row>
    <row r="529" spans="16:17">
      <c r="P529" t="s">
        <v>1665</v>
      </c>
      <c r="Q529">
        <v>2021</v>
      </c>
    </row>
    <row r="530" spans="16:17">
      <c r="P530" t="s">
        <v>1667</v>
      </c>
      <c r="Q530">
        <v>2021</v>
      </c>
    </row>
    <row r="531" spans="16:17">
      <c r="P531" t="s">
        <v>1671</v>
      </c>
      <c r="Q531">
        <v>2021</v>
      </c>
    </row>
    <row r="532" spans="16:17">
      <c r="P532" t="s">
        <v>1673</v>
      </c>
      <c r="Q532">
        <v>2021</v>
      </c>
    </row>
    <row r="533" spans="16:17">
      <c r="P533" t="s">
        <v>1674</v>
      </c>
      <c r="Q533">
        <v>2021</v>
      </c>
    </row>
    <row r="534" spans="16:17">
      <c r="P534" t="s">
        <v>1678</v>
      </c>
      <c r="Q534">
        <v>2021</v>
      </c>
    </row>
    <row r="535" spans="16:17">
      <c r="P535" t="s">
        <v>1679</v>
      </c>
      <c r="Q535">
        <v>2021</v>
      </c>
    </row>
    <row r="536" spans="16:17">
      <c r="P536" t="s">
        <v>1682</v>
      </c>
      <c r="Q536">
        <v>2021</v>
      </c>
    </row>
    <row r="537" spans="16:17">
      <c r="P537" t="s">
        <v>1684</v>
      </c>
      <c r="Q537">
        <v>2021</v>
      </c>
    </row>
    <row r="538" spans="16:17">
      <c r="P538" t="s">
        <v>1686</v>
      </c>
      <c r="Q538">
        <v>2021</v>
      </c>
    </row>
    <row r="539" spans="16:17">
      <c r="P539" t="s">
        <v>1689</v>
      </c>
      <c r="Q539">
        <v>2021</v>
      </c>
    </row>
    <row r="540" spans="16:17">
      <c r="P540" t="s">
        <v>1690</v>
      </c>
      <c r="Q540">
        <v>2021</v>
      </c>
    </row>
    <row r="541" spans="16:17">
      <c r="P541" t="s">
        <v>1695</v>
      </c>
      <c r="Q541">
        <v>2021</v>
      </c>
    </row>
    <row r="542" spans="16:17">
      <c r="P542" t="s">
        <v>1698</v>
      </c>
      <c r="Q542">
        <v>2021</v>
      </c>
    </row>
    <row r="543" spans="16:17">
      <c r="P543" t="s">
        <v>1701</v>
      </c>
      <c r="Q543">
        <v>2021</v>
      </c>
    </row>
    <row r="544" spans="16:17">
      <c r="P544" t="s">
        <v>1707</v>
      </c>
      <c r="Q544">
        <v>2021</v>
      </c>
    </row>
    <row r="545" spans="16:17">
      <c r="P545" t="s">
        <v>1714</v>
      </c>
      <c r="Q545">
        <v>2021</v>
      </c>
    </row>
    <row r="546" spans="16:17">
      <c r="P546" t="s">
        <v>1716</v>
      </c>
      <c r="Q546">
        <v>2021</v>
      </c>
    </row>
    <row r="547" spans="16:17">
      <c r="P547" t="s">
        <v>1721</v>
      </c>
      <c r="Q547">
        <v>2021</v>
      </c>
    </row>
    <row r="548" spans="16:17">
      <c r="P548" t="s">
        <v>1722</v>
      </c>
      <c r="Q548">
        <v>2021</v>
      </c>
    </row>
    <row r="549" spans="16:17">
      <c r="P549" t="s">
        <v>1724</v>
      </c>
      <c r="Q549">
        <v>2021</v>
      </c>
    </row>
    <row r="550" spans="16:17">
      <c r="P550" t="s">
        <v>1725</v>
      </c>
      <c r="Q550">
        <v>2021</v>
      </c>
    </row>
    <row r="551" spans="16:17">
      <c r="P551" t="s">
        <v>1729</v>
      </c>
      <c r="Q551">
        <v>2021</v>
      </c>
    </row>
    <row r="552" spans="16:17">
      <c r="P552" t="s">
        <v>1735</v>
      </c>
      <c r="Q552">
        <v>2021</v>
      </c>
    </row>
    <row r="553" spans="16:17">
      <c r="P553" t="s">
        <v>1736</v>
      </c>
      <c r="Q553">
        <v>2021</v>
      </c>
    </row>
    <row r="554" spans="16:17">
      <c r="P554" t="s">
        <v>1738</v>
      </c>
      <c r="Q554">
        <v>2021</v>
      </c>
    </row>
    <row r="555" spans="16:17">
      <c r="P555" t="s">
        <v>1740</v>
      </c>
      <c r="Q555">
        <v>2021</v>
      </c>
    </row>
    <row r="556" spans="16:17">
      <c r="P556" t="s">
        <v>1743</v>
      </c>
      <c r="Q556">
        <v>2021</v>
      </c>
    </row>
    <row r="557" spans="16:17">
      <c r="P557" t="s">
        <v>1746</v>
      </c>
      <c r="Q557">
        <v>2021</v>
      </c>
    </row>
    <row r="558" spans="16:17">
      <c r="P558" t="s">
        <v>1748</v>
      </c>
      <c r="Q558">
        <v>2021</v>
      </c>
    </row>
    <row r="559" spans="16:17">
      <c r="P559" t="s">
        <v>1749</v>
      </c>
      <c r="Q559">
        <v>2021</v>
      </c>
    </row>
    <row r="560" spans="16:17">
      <c r="P560" t="s">
        <v>1750</v>
      </c>
      <c r="Q560">
        <v>2021</v>
      </c>
    </row>
    <row r="561" spans="16:17">
      <c r="P561" t="s">
        <v>1753</v>
      </c>
      <c r="Q561">
        <v>2021</v>
      </c>
    </row>
    <row r="562" spans="16:17">
      <c r="P562" t="s">
        <v>1754</v>
      </c>
      <c r="Q562">
        <v>2021</v>
      </c>
    </row>
    <row r="563" spans="16:17">
      <c r="P563" t="s">
        <v>1760</v>
      </c>
      <c r="Q563">
        <v>2021</v>
      </c>
    </row>
    <row r="564" spans="16:17">
      <c r="P564" t="s">
        <v>1762</v>
      </c>
      <c r="Q564">
        <v>2021</v>
      </c>
    </row>
    <row r="565" spans="16:17">
      <c r="P565" t="s">
        <v>1764</v>
      </c>
      <c r="Q565">
        <v>2021</v>
      </c>
    </row>
    <row r="566" spans="16:17">
      <c r="P566" t="s">
        <v>1768</v>
      </c>
      <c r="Q566">
        <v>2021</v>
      </c>
    </row>
    <row r="567" spans="16:17">
      <c r="P567" t="s">
        <v>1773</v>
      </c>
      <c r="Q567">
        <v>2021</v>
      </c>
    </row>
    <row r="568" spans="16:17">
      <c r="P568" t="s">
        <v>1778</v>
      </c>
      <c r="Q568">
        <v>2021</v>
      </c>
    </row>
    <row r="569" spans="16:17">
      <c r="P569" t="s">
        <v>1780</v>
      </c>
      <c r="Q569">
        <v>2021</v>
      </c>
    </row>
    <row r="570" spans="16:17">
      <c r="P570" t="s">
        <v>1783</v>
      </c>
      <c r="Q570">
        <v>2021</v>
      </c>
    </row>
    <row r="571" spans="16:17">
      <c r="P571" t="s">
        <v>1785</v>
      </c>
      <c r="Q571">
        <v>2021</v>
      </c>
    </row>
    <row r="572" spans="16:17">
      <c r="P572" t="s">
        <v>1787</v>
      </c>
      <c r="Q572">
        <v>2021</v>
      </c>
    </row>
    <row r="573" spans="16:17">
      <c r="P573" t="s">
        <v>1790</v>
      </c>
      <c r="Q573">
        <v>2021</v>
      </c>
    </row>
    <row r="574" spans="16:17">
      <c r="P574" t="s">
        <v>1793</v>
      </c>
      <c r="Q574">
        <v>2021</v>
      </c>
    </row>
    <row r="575" spans="16:17">
      <c r="P575" t="s">
        <v>1795</v>
      </c>
      <c r="Q575">
        <v>2021</v>
      </c>
    </row>
    <row r="576" spans="16:17">
      <c r="P576" t="s">
        <v>1799</v>
      </c>
      <c r="Q576">
        <v>2021</v>
      </c>
    </row>
    <row r="577" spans="16:17">
      <c r="P577" t="s">
        <v>1800</v>
      </c>
      <c r="Q577">
        <v>2021</v>
      </c>
    </row>
    <row r="578" spans="16:17">
      <c r="P578" t="s">
        <v>1801</v>
      </c>
      <c r="Q578">
        <v>2021</v>
      </c>
    </row>
    <row r="579" spans="16:17">
      <c r="P579" t="s">
        <v>1802</v>
      </c>
      <c r="Q579">
        <v>2021</v>
      </c>
    </row>
    <row r="580" spans="16:17">
      <c r="P580" t="s">
        <v>1803</v>
      </c>
      <c r="Q580">
        <v>2021</v>
      </c>
    </row>
    <row r="581" spans="16:17">
      <c r="P581" t="s">
        <v>1805</v>
      </c>
      <c r="Q581">
        <v>2021</v>
      </c>
    </row>
    <row r="582" spans="16:17">
      <c r="P582" t="s">
        <v>1813</v>
      </c>
      <c r="Q582">
        <v>2021</v>
      </c>
    </row>
    <row r="583" spans="16:17">
      <c r="P583" t="s">
        <v>1815</v>
      </c>
      <c r="Q583">
        <v>2021</v>
      </c>
    </row>
    <row r="584" spans="16:17">
      <c r="P584" t="s">
        <v>1819</v>
      </c>
      <c r="Q584">
        <v>2021</v>
      </c>
    </row>
    <row r="585" spans="16:17">
      <c r="P585" t="s">
        <v>1824</v>
      </c>
      <c r="Q585">
        <v>2021</v>
      </c>
    </row>
    <row r="586" spans="16:17">
      <c r="P586" t="s">
        <v>1828</v>
      </c>
      <c r="Q586">
        <v>2021</v>
      </c>
    </row>
    <row r="587" spans="16:17">
      <c r="P587" t="s">
        <v>1830</v>
      </c>
      <c r="Q587">
        <v>2021</v>
      </c>
    </row>
    <row r="588" spans="16:17">
      <c r="P588" t="s">
        <v>1833</v>
      </c>
      <c r="Q588">
        <v>2021</v>
      </c>
    </row>
    <row r="589" spans="16:17">
      <c r="P589" t="s">
        <v>1842</v>
      </c>
      <c r="Q589">
        <v>2021</v>
      </c>
    </row>
    <row r="590" spans="16:17">
      <c r="P590" t="s">
        <v>1844</v>
      </c>
      <c r="Q590">
        <v>2021</v>
      </c>
    </row>
    <row r="591" spans="16:17">
      <c r="P591" t="s">
        <v>1848</v>
      </c>
      <c r="Q591">
        <v>2021</v>
      </c>
    </row>
    <row r="592" spans="16:17">
      <c r="P592" t="s">
        <v>1858</v>
      </c>
      <c r="Q592">
        <v>2021</v>
      </c>
    </row>
    <row r="593" spans="16:17">
      <c r="P593" t="s">
        <v>1865</v>
      </c>
      <c r="Q593">
        <v>2021</v>
      </c>
    </row>
    <row r="594" spans="16:17">
      <c r="P594" t="s">
        <v>1867</v>
      </c>
      <c r="Q594">
        <v>2021</v>
      </c>
    </row>
    <row r="595" spans="16:17">
      <c r="P595" t="s">
        <v>1868</v>
      </c>
      <c r="Q595">
        <v>2021</v>
      </c>
    </row>
    <row r="596" spans="16:17">
      <c r="P596" t="s">
        <v>1869</v>
      </c>
      <c r="Q596">
        <v>2021</v>
      </c>
    </row>
    <row r="597" spans="16:17">
      <c r="P597" t="s">
        <v>1870</v>
      </c>
      <c r="Q597">
        <v>2021</v>
      </c>
    </row>
    <row r="598" spans="16:17">
      <c r="P598" t="s">
        <v>1873</v>
      </c>
      <c r="Q598">
        <v>2021</v>
      </c>
    </row>
    <row r="599" spans="16:17">
      <c r="P599" t="s">
        <v>1879</v>
      </c>
      <c r="Q599">
        <v>2021</v>
      </c>
    </row>
    <row r="600" spans="16:17">
      <c r="P600" t="s">
        <v>661</v>
      </c>
      <c r="Q600">
        <v>2022</v>
      </c>
    </row>
    <row r="601" spans="16:17">
      <c r="P601" t="s">
        <v>1885</v>
      </c>
      <c r="Q601">
        <v>2022</v>
      </c>
    </row>
    <row r="602" spans="16:17">
      <c r="P602" t="s">
        <v>1504</v>
      </c>
      <c r="Q602">
        <v>2022</v>
      </c>
    </row>
    <row r="603" spans="16:17">
      <c r="P603" t="s">
        <v>1887</v>
      </c>
      <c r="Q603">
        <v>2022</v>
      </c>
    </row>
    <row r="604" spans="16:17">
      <c r="P604" t="s">
        <v>63</v>
      </c>
      <c r="Q604">
        <v>2022</v>
      </c>
    </row>
    <row r="605" spans="16:17">
      <c r="P605" t="s">
        <v>1888</v>
      </c>
      <c r="Q605">
        <v>2022</v>
      </c>
    </row>
    <row r="606" spans="16:17">
      <c r="P606" t="s">
        <v>217</v>
      </c>
      <c r="Q606">
        <v>2022</v>
      </c>
    </row>
    <row r="607" spans="16:17">
      <c r="P607" t="s">
        <v>659</v>
      </c>
      <c r="Q607">
        <v>2022</v>
      </c>
    </row>
    <row r="608" spans="16:17">
      <c r="P608" t="s">
        <v>1879</v>
      </c>
      <c r="Q608">
        <v>2022</v>
      </c>
    </row>
    <row r="609" spans="16:17">
      <c r="P609" t="s">
        <v>1251</v>
      </c>
      <c r="Q609">
        <v>2022</v>
      </c>
    </row>
    <row r="610" spans="16:17">
      <c r="P610" t="s">
        <v>368</v>
      </c>
      <c r="Q610">
        <v>2022</v>
      </c>
    </row>
    <row r="611" spans="16:17">
      <c r="P611" t="s">
        <v>79</v>
      </c>
      <c r="Q611">
        <v>2022</v>
      </c>
    </row>
    <row r="612" spans="16:17">
      <c r="P612" t="s">
        <v>1893</v>
      </c>
      <c r="Q612">
        <v>2022</v>
      </c>
    </row>
    <row r="613" spans="16:17">
      <c r="P613" t="s">
        <v>1894</v>
      </c>
      <c r="Q613">
        <v>2022</v>
      </c>
    </row>
    <row r="614" spans="16:17">
      <c r="P614" t="s">
        <v>955</v>
      </c>
      <c r="Q614">
        <v>2022</v>
      </c>
    </row>
    <row r="615" spans="16:17">
      <c r="P615" t="s">
        <v>1900</v>
      </c>
      <c r="Q615">
        <v>2022</v>
      </c>
    </row>
    <row r="616" spans="16:17">
      <c r="P616" t="s">
        <v>607</v>
      </c>
      <c r="Q616">
        <v>2022</v>
      </c>
    </row>
    <row r="617" spans="16:17">
      <c r="P617" t="s">
        <v>477</v>
      </c>
      <c r="Q617">
        <v>2022</v>
      </c>
    </row>
    <row r="618" spans="16:17">
      <c r="P618" t="s">
        <v>612</v>
      </c>
      <c r="Q618">
        <v>2022</v>
      </c>
    </row>
    <row r="619" spans="16:17">
      <c r="P619" t="s">
        <v>805</v>
      </c>
      <c r="Q619">
        <v>2022</v>
      </c>
    </row>
    <row r="620" spans="16:17">
      <c r="P620" t="s">
        <v>1902</v>
      </c>
      <c r="Q620">
        <v>2022</v>
      </c>
    </row>
    <row r="621" spans="16:17">
      <c r="P621" t="s">
        <v>1743</v>
      </c>
      <c r="Q621">
        <v>2022</v>
      </c>
    </row>
    <row r="622" spans="16:17">
      <c r="P622" t="s">
        <v>60</v>
      </c>
      <c r="Q622">
        <v>2022</v>
      </c>
    </row>
    <row r="623" spans="16:17">
      <c r="P623" t="s">
        <v>1801</v>
      </c>
      <c r="Q623">
        <v>2022</v>
      </c>
    </row>
    <row r="624" spans="16:17">
      <c r="P624" t="s">
        <v>1104</v>
      </c>
      <c r="Q624">
        <v>2022</v>
      </c>
    </row>
    <row r="625" spans="16:17">
      <c r="P625" t="s">
        <v>1147</v>
      </c>
      <c r="Q625">
        <v>2022</v>
      </c>
    </row>
    <row r="626" spans="16:17">
      <c r="P626" t="s">
        <v>980</v>
      </c>
      <c r="Q626">
        <v>2022</v>
      </c>
    </row>
    <row r="627" spans="16:17">
      <c r="P627" t="s">
        <v>1180</v>
      </c>
      <c r="Q627">
        <v>2022</v>
      </c>
    </row>
    <row r="628" spans="16:17">
      <c r="P628" t="s">
        <v>556</v>
      </c>
      <c r="Q628">
        <v>2022</v>
      </c>
    </row>
    <row r="629" spans="16:17">
      <c r="P629" t="s">
        <v>1909</v>
      </c>
      <c r="Q629">
        <v>2022</v>
      </c>
    </row>
    <row r="630" spans="16:17">
      <c r="P630" t="s">
        <v>1540</v>
      </c>
      <c r="Q630">
        <v>2022</v>
      </c>
    </row>
    <row r="631" spans="16:17">
      <c r="P631" t="s">
        <v>811</v>
      </c>
      <c r="Q631">
        <v>2022</v>
      </c>
    </row>
    <row r="632" spans="16:17">
      <c r="P632" t="s">
        <v>673</v>
      </c>
      <c r="Q632">
        <v>2022</v>
      </c>
    </row>
    <row r="633" spans="16:17">
      <c r="P633" t="s">
        <v>1044</v>
      </c>
      <c r="Q633">
        <v>2022</v>
      </c>
    </row>
    <row r="634" spans="16:17">
      <c r="P634" t="s">
        <v>1912</v>
      </c>
      <c r="Q634">
        <v>2022</v>
      </c>
    </row>
    <row r="635" spans="16:17">
      <c r="P635" t="s">
        <v>1914</v>
      </c>
      <c r="Q635">
        <v>2022</v>
      </c>
    </row>
    <row r="636" spans="16:17">
      <c r="P636" t="s">
        <v>391</v>
      </c>
      <c r="Q636">
        <v>2022</v>
      </c>
    </row>
    <row r="637" spans="16:17">
      <c r="P637" t="s">
        <v>1243</v>
      </c>
      <c r="Q637">
        <v>2022</v>
      </c>
    </row>
    <row r="638" spans="16:17">
      <c r="P638" t="s">
        <v>798</v>
      </c>
      <c r="Q638">
        <v>2022</v>
      </c>
    </row>
    <row r="639" spans="16:17">
      <c r="P639" t="s">
        <v>894</v>
      </c>
      <c r="Q639">
        <v>2022</v>
      </c>
    </row>
    <row r="640" spans="16:17">
      <c r="P640" t="s">
        <v>1329</v>
      </c>
      <c r="Q640">
        <v>2022</v>
      </c>
    </row>
    <row r="641" spans="16:17">
      <c r="P641" t="s">
        <v>1918</v>
      </c>
      <c r="Q641">
        <v>2022</v>
      </c>
    </row>
    <row r="642" spans="16:17">
      <c r="P642" t="s">
        <v>1450</v>
      </c>
      <c r="Q642">
        <v>2022</v>
      </c>
    </row>
    <row r="643" spans="16:17">
      <c r="P643" t="s">
        <v>1750</v>
      </c>
      <c r="Q643">
        <v>2022</v>
      </c>
    </row>
    <row r="644" spans="16:17">
      <c r="P644" t="s">
        <v>679</v>
      </c>
      <c r="Q644">
        <v>2022</v>
      </c>
    </row>
    <row r="645" spans="16:17">
      <c r="P645" t="s">
        <v>470</v>
      </c>
      <c r="Q645">
        <v>2022</v>
      </c>
    </row>
    <row r="646" spans="16:17">
      <c r="P646" t="s">
        <v>601</v>
      </c>
      <c r="Q646">
        <v>2022</v>
      </c>
    </row>
    <row r="647" spans="16:17">
      <c r="P647" t="s">
        <v>1793</v>
      </c>
      <c r="Q647">
        <v>2022</v>
      </c>
    </row>
    <row r="648" spans="16:17">
      <c r="P648" t="s">
        <v>439</v>
      </c>
      <c r="Q648">
        <v>2022</v>
      </c>
    </row>
    <row r="649" spans="16:17">
      <c r="P649" t="s">
        <v>1650</v>
      </c>
      <c r="Q649">
        <v>2022</v>
      </c>
    </row>
    <row r="650" spans="16:17">
      <c r="P650" t="s">
        <v>1922</v>
      </c>
      <c r="Q650">
        <v>2022</v>
      </c>
    </row>
    <row r="651" spans="16:17">
      <c r="P651" t="s">
        <v>880</v>
      </c>
      <c r="Q651">
        <v>2022</v>
      </c>
    </row>
    <row r="652" spans="16:17">
      <c r="P652" t="s">
        <v>285</v>
      </c>
      <c r="Q652">
        <v>2022</v>
      </c>
    </row>
    <row r="653" spans="16:17">
      <c r="P653" t="s">
        <v>1175</v>
      </c>
      <c r="Q653">
        <v>2022</v>
      </c>
    </row>
    <row r="654" spans="16:17">
      <c r="P654" t="s">
        <v>1645</v>
      </c>
      <c r="Q654">
        <v>2022</v>
      </c>
    </row>
    <row r="655" spans="16:17">
      <c r="P655" t="s">
        <v>1813</v>
      </c>
      <c r="Q655">
        <v>2022</v>
      </c>
    </row>
    <row r="656" spans="16:17">
      <c r="P656" t="s">
        <v>1924</v>
      </c>
      <c r="Q656">
        <v>2022</v>
      </c>
    </row>
    <row r="657" spans="16:17">
      <c r="P657" t="s">
        <v>1787</v>
      </c>
      <c r="Q657">
        <v>2022</v>
      </c>
    </row>
    <row r="658" spans="16:17">
      <c r="P658" t="s">
        <v>1519</v>
      </c>
      <c r="Q658">
        <v>2022</v>
      </c>
    </row>
    <row r="659" spans="16:17">
      <c r="P659" t="s">
        <v>1419</v>
      </c>
      <c r="Q659">
        <v>2022</v>
      </c>
    </row>
    <row r="660" spans="16:17">
      <c r="P660" t="s">
        <v>1928</v>
      </c>
      <c r="Q660">
        <v>2022</v>
      </c>
    </row>
    <row r="661" spans="16:17">
      <c r="P661" t="s">
        <v>1057</v>
      </c>
      <c r="Q661">
        <v>2022</v>
      </c>
    </row>
    <row r="662" spans="16:17">
      <c r="P662" t="s">
        <v>197</v>
      </c>
      <c r="Q662">
        <v>2022</v>
      </c>
    </row>
    <row r="663" spans="16:17">
      <c r="P663" t="s">
        <v>1671</v>
      </c>
      <c r="Q663">
        <v>2022</v>
      </c>
    </row>
    <row r="664" spans="16:17">
      <c r="P664" t="s">
        <v>714</v>
      </c>
      <c r="Q664">
        <v>2022</v>
      </c>
    </row>
    <row r="665" spans="16:17">
      <c r="P665" t="s">
        <v>272</v>
      </c>
      <c r="Q665">
        <v>2022</v>
      </c>
    </row>
    <row r="666" spans="16:17">
      <c r="P666" t="s">
        <v>1933</v>
      </c>
      <c r="Q666">
        <v>2022</v>
      </c>
    </row>
    <row r="667" spans="16:17">
      <c r="P667" t="s">
        <v>1935</v>
      </c>
      <c r="Q667">
        <v>2022</v>
      </c>
    </row>
    <row r="668" spans="16:17">
      <c r="P668" t="s">
        <v>676</v>
      </c>
      <c r="Q668">
        <v>2022</v>
      </c>
    </row>
    <row r="669" spans="16:17">
      <c r="P669" t="s">
        <v>1029</v>
      </c>
      <c r="Q669">
        <v>2022</v>
      </c>
    </row>
    <row r="670" spans="16:17">
      <c r="P670" t="s">
        <v>1830</v>
      </c>
      <c r="Q670">
        <v>2022</v>
      </c>
    </row>
    <row r="671" spans="16:17">
      <c r="P671" t="s">
        <v>1738</v>
      </c>
      <c r="Q671">
        <v>2022</v>
      </c>
    </row>
    <row r="672" spans="16:17">
      <c r="P672" t="s">
        <v>1937</v>
      </c>
      <c r="Q672">
        <v>2022</v>
      </c>
    </row>
    <row r="673" spans="16:17">
      <c r="P673" t="s">
        <v>153</v>
      </c>
      <c r="Q673">
        <v>2022</v>
      </c>
    </row>
    <row r="674" spans="16:17">
      <c r="P674" t="s">
        <v>1939</v>
      </c>
      <c r="Q674">
        <v>2022</v>
      </c>
    </row>
    <row r="675" spans="16:17">
      <c r="P675" t="s">
        <v>1260</v>
      </c>
      <c r="Q675">
        <v>2022</v>
      </c>
    </row>
    <row r="676" spans="16:17">
      <c r="P676" t="s">
        <v>1006</v>
      </c>
      <c r="Q676">
        <v>2022</v>
      </c>
    </row>
    <row r="677" spans="16:17">
      <c r="P677" t="s">
        <v>973</v>
      </c>
      <c r="Q677">
        <v>2022</v>
      </c>
    </row>
    <row r="678" spans="16:17">
      <c r="P678" t="s">
        <v>1943</v>
      </c>
      <c r="Q678">
        <v>2022</v>
      </c>
    </row>
    <row r="679" spans="16:17">
      <c r="P679" t="s">
        <v>893</v>
      </c>
      <c r="Q679">
        <v>2022</v>
      </c>
    </row>
    <row r="680" spans="16:17">
      <c r="P680" t="s">
        <v>1448</v>
      </c>
      <c r="Q680">
        <v>2022</v>
      </c>
    </row>
    <row r="681" spans="16:17">
      <c r="P681" t="s">
        <v>875</v>
      </c>
      <c r="Q681">
        <v>2022</v>
      </c>
    </row>
    <row r="682" spans="16:17">
      <c r="P682" t="s">
        <v>1947</v>
      </c>
      <c r="Q682">
        <v>2022</v>
      </c>
    </row>
    <row r="683" spans="16:17">
      <c r="P683" t="s">
        <v>96</v>
      </c>
      <c r="Q683">
        <v>2022</v>
      </c>
    </row>
    <row r="684" spans="16:17">
      <c r="P684" t="s">
        <v>454</v>
      </c>
      <c r="Q684">
        <v>2022</v>
      </c>
    </row>
    <row r="685" spans="16:17">
      <c r="P685" t="s">
        <v>1948</v>
      </c>
      <c r="Q685">
        <v>2022</v>
      </c>
    </row>
    <row r="686" spans="16:17">
      <c r="P686" t="s">
        <v>1410</v>
      </c>
      <c r="Q686">
        <v>2022</v>
      </c>
    </row>
    <row r="687" spans="16:17">
      <c r="P687" t="s">
        <v>1253</v>
      </c>
      <c r="Q687">
        <v>2022</v>
      </c>
    </row>
    <row r="688" spans="16:17">
      <c r="P688" t="s">
        <v>547</v>
      </c>
      <c r="Q688">
        <v>2022</v>
      </c>
    </row>
    <row r="689" spans="16:17">
      <c r="P689" t="s">
        <v>917</v>
      </c>
      <c r="Q689">
        <v>2022</v>
      </c>
    </row>
    <row r="690" spans="16:17">
      <c r="P690" t="s">
        <v>589</v>
      </c>
      <c r="Q690">
        <v>2022</v>
      </c>
    </row>
    <row r="691" spans="16:17">
      <c r="P691" t="s">
        <v>1950</v>
      </c>
      <c r="Q691">
        <v>2022</v>
      </c>
    </row>
    <row r="692" spans="16:17">
      <c r="P692" t="s">
        <v>1953</v>
      </c>
      <c r="Q692">
        <v>2022</v>
      </c>
    </row>
    <row r="693" spans="16:17">
      <c r="P693" t="s">
        <v>1312</v>
      </c>
      <c r="Q693">
        <v>2022</v>
      </c>
    </row>
    <row r="694" spans="16:17">
      <c r="P694" t="s">
        <v>382</v>
      </c>
      <c r="Q694">
        <v>2022</v>
      </c>
    </row>
    <row r="695" spans="16:17">
      <c r="P695" t="s">
        <v>1334</v>
      </c>
      <c r="Q695">
        <v>2022</v>
      </c>
    </row>
    <row r="696" spans="16:17">
      <c r="P696" t="s">
        <v>1690</v>
      </c>
      <c r="Q696">
        <v>2022</v>
      </c>
    </row>
    <row r="697" spans="16:17">
      <c r="P697" t="s">
        <v>1959</v>
      </c>
      <c r="Q697">
        <v>2022</v>
      </c>
    </row>
    <row r="698" spans="16:17">
      <c r="P698" t="s">
        <v>1497</v>
      </c>
      <c r="Q698">
        <v>2022</v>
      </c>
    </row>
    <row r="699" spans="16:17">
      <c r="P699" t="s">
        <v>1053</v>
      </c>
      <c r="Q699">
        <v>2022</v>
      </c>
    </row>
    <row r="700" spans="16:17">
      <c r="P700" t="s">
        <v>909</v>
      </c>
      <c r="Q700">
        <v>2022</v>
      </c>
    </row>
    <row r="701" spans="16:17">
      <c r="P701" t="s">
        <v>1332</v>
      </c>
      <c r="Q701">
        <v>2022</v>
      </c>
    </row>
    <row r="702" spans="16:17">
      <c r="P702" t="s">
        <v>187</v>
      </c>
      <c r="Q702">
        <v>2022</v>
      </c>
    </row>
    <row r="703" spans="16:17">
      <c r="P703" t="s">
        <v>1964</v>
      </c>
      <c r="Q703">
        <v>2022</v>
      </c>
    </row>
    <row r="704" spans="16:17">
      <c r="P704" t="s">
        <v>1965</v>
      </c>
      <c r="Q704">
        <v>2022</v>
      </c>
    </row>
    <row r="705" spans="16:17">
      <c r="P705" t="s">
        <v>1654</v>
      </c>
      <c r="Q705">
        <v>2022</v>
      </c>
    </row>
    <row r="706" spans="16:17">
      <c r="P706" t="s">
        <v>780</v>
      </c>
      <c r="Q706">
        <v>2022</v>
      </c>
    </row>
    <row r="707" spans="16:17">
      <c r="P707" t="s">
        <v>1968</v>
      </c>
      <c r="Q707">
        <v>2022</v>
      </c>
    </row>
    <row r="708" spans="16:17">
      <c r="P708" t="s">
        <v>1970</v>
      </c>
      <c r="Q708">
        <v>2022</v>
      </c>
    </row>
    <row r="709" spans="16:17">
      <c r="P709" t="s">
        <v>467</v>
      </c>
      <c r="Q709">
        <v>2022</v>
      </c>
    </row>
    <row r="710" spans="16:17">
      <c r="P710" t="s">
        <v>1637</v>
      </c>
      <c r="Q710">
        <v>2022</v>
      </c>
    </row>
    <row r="711" spans="16:17">
      <c r="P711" t="s">
        <v>1973</v>
      </c>
      <c r="Q711">
        <v>2022</v>
      </c>
    </row>
    <row r="712" spans="16:17">
      <c r="P712" t="s">
        <v>1858</v>
      </c>
      <c r="Q712">
        <v>2022</v>
      </c>
    </row>
    <row r="713" spans="16:17">
      <c r="P713" t="s">
        <v>1375</v>
      </c>
      <c r="Q713">
        <v>2022</v>
      </c>
    </row>
    <row r="714" spans="16:17">
      <c r="P714" t="s">
        <v>1025</v>
      </c>
      <c r="Q714">
        <v>2022</v>
      </c>
    </row>
    <row r="715" spans="16:17">
      <c r="P715" t="s">
        <v>790</v>
      </c>
      <c r="Q715">
        <v>2022</v>
      </c>
    </row>
    <row r="716" spans="16:17">
      <c r="P716" t="s">
        <v>1440</v>
      </c>
      <c r="Q716">
        <v>2022</v>
      </c>
    </row>
    <row r="717" spans="16:17">
      <c r="P717" t="s">
        <v>912</v>
      </c>
      <c r="Q717">
        <v>2022</v>
      </c>
    </row>
    <row r="718" spans="16:17">
      <c r="P718" t="s">
        <v>1976</v>
      </c>
      <c r="Q718">
        <v>2022</v>
      </c>
    </row>
    <row r="719" spans="16:17">
      <c r="P719" t="s">
        <v>1746</v>
      </c>
      <c r="Q719">
        <v>2022</v>
      </c>
    </row>
    <row r="720" spans="16:17">
      <c r="P720" t="s">
        <v>1979</v>
      </c>
      <c r="Q720">
        <v>2022</v>
      </c>
    </row>
    <row r="721" spans="16:17">
      <c r="P721" t="s">
        <v>1106</v>
      </c>
      <c r="Q721">
        <v>2022</v>
      </c>
    </row>
    <row r="722" spans="16:17">
      <c r="P722" t="s">
        <v>740</v>
      </c>
      <c r="Q722">
        <v>2022</v>
      </c>
    </row>
    <row r="723" spans="16:17">
      <c r="P723" t="s">
        <v>1403</v>
      </c>
      <c r="Q723">
        <v>2022</v>
      </c>
    </row>
    <row r="724" spans="16:17">
      <c r="P724" t="s">
        <v>109</v>
      </c>
      <c r="Q724">
        <v>2022</v>
      </c>
    </row>
    <row r="725" spans="16:17">
      <c r="P725" t="s">
        <v>1635</v>
      </c>
      <c r="Q725">
        <v>2022</v>
      </c>
    </row>
    <row r="726" spans="16:17">
      <c r="P726" t="s">
        <v>282</v>
      </c>
      <c r="Q726">
        <v>2022</v>
      </c>
    </row>
    <row r="727" spans="16:17">
      <c r="P727" t="s">
        <v>683</v>
      </c>
      <c r="Q727">
        <v>2022</v>
      </c>
    </row>
    <row r="728" spans="16:17">
      <c r="P728" t="s">
        <v>1359</v>
      </c>
      <c r="Q728">
        <v>2022</v>
      </c>
    </row>
    <row r="729" spans="16:17">
      <c r="P729" t="s">
        <v>1428</v>
      </c>
      <c r="Q729">
        <v>2022</v>
      </c>
    </row>
    <row r="730" spans="16:17">
      <c r="P730" t="s">
        <v>291</v>
      </c>
      <c r="Q730">
        <v>2022</v>
      </c>
    </row>
    <row r="731" spans="16:17">
      <c r="P731" t="s">
        <v>309</v>
      </c>
      <c r="Q731">
        <v>2022</v>
      </c>
    </row>
    <row r="732" spans="16:17">
      <c r="P732" t="s">
        <v>1988</v>
      </c>
      <c r="Q732">
        <v>2022</v>
      </c>
    </row>
    <row r="733" spans="16:17">
      <c r="P733" t="s">
        <v>400</v>
      </c>
      <c r="Q733">
        <v>2022</v>
      </c>
    </row>
    <row r="734" spans="16:17">
      <c r="P734" t="s">
        <v>924</v>
      </c>
      <c r="Q734">
        <v>2022</v>
      </c>
    </row>
    <row r="735" spans="16:17">
      <c r="P735" t="s">
        <v>1993</v>
      </c>
      <c r="Q735">
        <v>2022</v>
      </c>
    </row>
    <row r="736" spans="16:17">
      <c r="P736" t="s">
        <v>1790</v>
      </c>
      <c r="Q736">
        <v>2022</v>
      </c>
    </row>
    <row r="737" spans="16:17">
      <c r="P737" t="s">
        <v>1996</v>
      </c>
      <c r="Q737">
        <v>2022</v>
      </c>
    </row>
    <row r="738" spans="16:17">
      <c r="P738" t="s">
        <v>419</v>
      </c>
      <c r="Q738">
        <v>2022</v>
      </c>
    </row>
    <row r="739" spans="16:17">
      <c r="P739" t="s">
        <v>1523</v>
      </c>
      <c r="Q739">
        <v>2022</v>
      </c>
    </row>
    <row r="740" spans="16:17">
      <c r="P740" t="s">
        <v>788</v>
      </c>
      <c r="Q740">
        <v>2022</v>
      </c>
    </row>
    <row r="741" spans="16:17">
      <c r="P741" t="s">
        <v>141</v>
      </c>
      <c r="Q741">
        <v>2022</v>
      </c>
    </row>
    <row r="742" spans="16:17">
      <c r="P742" t="s">
        <v>831</v>
      </c>
      <c r="Q742">
        <v>2022</v>
      </c>
    </row>
    <row r="743" spans="16:17">
      <c r="P743" t="s">
        <v>1373</v>
      </c>
      <c r="Q743">
        <v>2022</v>
      </c>
    </row>
    <row r="744" spans="16:17">
      <c r="P744" t="s">
        <v>937</v>
      </c>
      <c r="Q744">
        <v>2022</v>
      </c>
    </row>
    <row r="745" spans="16:17">
      <c r="P745" t="s">
        <v>620</v>
      </c>
      <c r="Q745">
        <v>2022</v>
      </c>
    </row>
    <row r="746" spans="16:17">
      <c r="P746" t="s">
        <v>1179</v>
      </c>
      <c r="Q746">
        <v>2022</v>
      </c>
    </row>
    <row r="747" spans="16:17">
      <c r="P747" t="s">
        <v>507</v>
      </c>
      <c r="Q747">
        <v>2022</v>
      </c>
    </row>
    <row r="748" spans="16:17">
      <c r="P748" t="s">
        <v>833</v>
      </c>
      <c r="Q748">
        <v>2022</v>
      </c>
    </row>
    <row r="749" spans="16:17">
      <c r="P749" t="s">
        <v>1487</v>
      </c>
      <c r="Q749">
        <v>2022</v>
      </c>
    </row>
    <row r="750" spans="16:17">
      <c r="P750" t="s">
        <v>1416</v>
      </c>
      <c r="Q750">
        <v>2022</v>
      </c>
    </row>
    <row r="751" spans="16:17">
      <c r="P751" t="s">
        <v>1496</v>
      </c>
      <c r="Q751">
        <v>2022</v>
      </c>
    </row>
    <row r="752" spans="16:17">
      <c r="P752" t="s">
        <v>511</v>
      </c>
      <c r="Q752">
        <v>2022</v>
      </c>
    </row>
    <row r="753" spans="16:17">
      <c r="P753" t="s">
        <v>1214</v>
      </c>
      <c r="Q753">
        <v>2022</v>
      </c>
    </row>
    <row r="754" spans="16:17">
      <c r="P754" t="s">
        <v>1707</v>
      </c>
      <c r="Q754">
        <v>2022</v>
      </c>
    </row>
    <row r="755" spans="16:17">
      <c r="P755" t="s">
        <v>2013</v>
      </c>
      <c r="Q755">
        <v>2022</v>
      </c>
    </row>
    <row r="756" spans="16:17">
      <c r="P756" t="s">
        <v>1461</v>
      </c>
      <c r="Q756">
        <v>2022</v>
      </c>
    </row>
    <row r="757" spans="16:17">
      <c r="P757" t="s">
        <v>2014</v>
      </c>
      <c r="Q757">
        <v>2022</v>
      </c>
    </row>
    <row r="758" spans="16:17">
      <c r="P758" t="s">
        <v>2015</v>
      </c>
      <c r="Q758">
        <v>2022</v>
      </c>
    </row>
    <row r="759" spans="16:17">
      <c r="P759" t="s">
        <v>1069</v>
      </c>
      <c r="Q759">
        <v>2022</v>
      </c>
    </row>
    <row r="760" spans="16:17">
      <c r="P760" t="s">
        <v>2019</v>
      </c>
      <c r="Q760">
        <v>2022</v>
      </c>
    </row>
    <row r="761" spans="16:17">
      <c r="P761" t="s">
        <v>1394</v>
      </c>
      <c r="Q761">
        <v>2022</v>
      </c>
    </row>
    <row r="762" spans="16:17">
      <c r="P762" t="s">
        <v>1760</v>
      </c>
      <c r="Q762">
        <v>2022</v>
      </c>
    </row>
    <row r="763" spans="16:17">
      <c r="P763" t="s">
        <v>2023</v>
      </c>
      <c r="Q763">
        <v>2022</v>
      </c>
    </row>
    <row r="764" spans="16:17">
      <c r="P764" t="s">
        <v>562</v>
      </c>
      <c r="Q764">
        <v>2022</v>
      </c>
    </row>
    <row r="765" spans="16:17">
      <c r="P765" t="s">
        <v>1279</v>
      </c>
      <c r="Q765">
        <v>2022</v>
      </c>
    </row>
    <row r="766" spans="16:17">
      <c r="P766" t="s">
        <v>1343</v>
      </c>
      <c r="Q766">
        <v>2022</v>
      </c>
    </row>
    <row r="767" spans="16:17">
      <c r="P767" t="s">
        <v>592</v>
      </c>
      <c r="Q767">
        <v>2022</v>
      </c>
    </row>
    <row r="768" spans="16:17">
      <c r="P768" t="s">
        <v>1557</v>
      </c>
      <c r="Q768">
        <v>2022</v>
      </c>
    </row>
    <row r="769" spans="16:17">
      <c r="P769" t="s">
        <v>682</v>
      </c>
      <c r="Q769">
        <v>2022</v>
      </c>
    </row>
    <row r="770" spans="16:17">
      <c r="P770" t="s">
        <v>1290</v>
      </c>
      <c r="Q770">
        <v>2022</v>
      </c>
    </row>
    <row r="771" spans="16:17">
      <c r="P771" t="s">
        <v>11</v>
      </c>
      <c r="Q771">
        <v>2022</v>
      </c>
    </row>
    <row r="772" spans="16:17">
      <c r="P772" t="s">
        <v>1414</v>
      </c>
      <c r="Q772">
        <v>2022</v>
      </c>
    </row>
    <row r="773" spans="16:17">
      <c r="P773" t="s">
        <v>1078</v>
      </c>
      <c r="Q773">
        <v>2022</v>
      </c>
    </row>
    <row r="774" spans="16:17">
      <c r="P774" t="s">
        <v>1145</v>
      </c>
      <c r="Q774">
        <v>2022</v>
      </c>
    </row>
    <row r="775" spans="16:17">
      <c r="P775" t="s">
        <v>609</v>
      </c>
      <c r="Q775">
        <v>2022</v>
      </c>
    </row>
    <row r="776" spans="16:17">
      <c r="P776" t="s">
        <v>2035</v>
      </c>
      <c r="Q776">
        <v>2022</v>
      </c>
    </row>
    <row r="777" spans="16:17">
      <c r="P777" t="s">
        <v>637</v>
      </c>
      <c r="Q777">
        <v>2022</v>
      </c>
    </row>
    <row r="778" spans="16:17">
      <c r="P778" t="s">
        <v>1337</v>
      </c>
      <c r="Q778">
        <v>2022</v>
      </c>
    </row>
    <row r="779" spans="16:17">
      <c r="P779" t="s">
        <v>2039</v>
      </c>
      <c r="Q779">
        <v>2022</v>
      </c>
    </row>
    <row r="780" spans="16:17">
      <c r="P780" t="s">
        <v>2041</v>
      </c>
      <c r="Q780">
        <v>2022</v>
      </c>
    </row>
    <row r="781" spans="16:17">
      <c r="P781" t="s">
        <v>327</v>
      </c>
      <c r="Q781">
        <v>2022</v>
      </c>
    </row>
    <row r="782" spans="16:17">
      <c r="P782" t="s">
        <v>169</v>
      </c>
      <c r="Q782">
        <v>2022</v>
      </c>
    </row>
    <row r="783" spans="16:17">
      <c r="P783" t="s">
        <v>251</v>
      </c>
      <c r="Q783">
        <v>2022</v>
      </c>
    </row>
    <row r="784" spans="16:17">
      <c r="P784" t="s">
        <v>2044</v>
      </c>
      <c r="Q784">
        <v>2022</v>
      </c>
    </row>
    <row r="785" spans="16:17">
      <c r="P785" t="s">
        <v>859</v>
      </c>
      <c r="Q785">
        <v>2022</v>
      </c>
    </row>
    <row r="786" spans="16:17">
      <c r="P786" t="s">
        <v>220</v>
      </c>
      <c r="Q786">
        <v>2022</v>
      </c>
    </row>
    <row r="787" spans="16:17">
      <c r="P787" t="s">
        <v>711</v>
      </c>
      <c r="Q787">
        <v>2022</v>
      </c>
    </row>
    <row r="788" spans="16:17">
      <c r="P788" t="s">
        <v>1678</v>
      </c>
      <c r="Q788">
        <v>2022</v>
      </c>
    </row>
    <row r="789" spans="16:17">
      <c r="P789" t="s">
        <v>891</v>
      </c>
      <c r="Q789">
        <v>2022</v>
      </c>
    </row>
    <row r="790" spans="16:17">
      <c r="P790" t="s">
        <v>133</v>
      </c>
      <c r="Q790">
        <v>2022</v>
      </c>
    </row>
    <row r="791" spans="16:17">
      <c r="P791" t="s">
        <v>535</v>
      </c>
      <c r="Q791">
        <v>2022</v>
      </c>
    </row>
    <row r="792" spans="16:17">
      <c r="P792" t="s">
        <v>554</v>
      </c>
      <c r="Q792">
        <v>2022</v>
      </c>
    </row>
    <row r="793" spans="16:17">
      <c r="P793" t="s">
        <v>2050</v>
      </c>
      <c r="Q793">
        <v>2022</v>
      </c>
    </row>
    <row r="794" spans="16:17">
      <c r="P794" t="s">
        <v>1297</v>
      </c>
      <c r="Q794">
        <v>2022</v>
      </c>
    </row>
    <row r="795" spans="16:17">
      <c r="P795" t="s">
        <v>2055</v>
      </c>
      <c r="Q795">
        <v>2022</v>
      </c>
    </row>
    <row r="796" spans="16:17">
      <c r="P796" t="s">
        <v>1548</v>
      </c>
      <c r="Q796">
        <v>2022</v>
      </c>
    </row>
    <row r="797" spans="16:17">
      <c r="P797" t="s">
        <v>1521</v>
      </c>
      <c r="Q797">
        <v>2022</v>
      </c>
    </row>
    <row r="798" spans="16:17">
      <c r="P798" t="s">
        <v>2059</v>
      </c>
      <c r="Q798">
        <v>2022</v>
      </c>
    </row>
    <row r="799" spans="16:17">
      <c r="P799" t="s">
        <v>525</v>
      </c>
      <c r="Q799">
        <v>2022</v>
      </c>
    </row>
    <row r="800" spans="16:17">
      <c r="P800" t="s">
        <v>2062</v>
      </c>
      <c r="Q800">
        <v>2022</v>
      </c>
    </row>
    <row r="801" spans="16:17">
      <c r="P801" t="s">
        <v>1480</v>
      </c>
      <c r="Q801">
        <v>2022</v>
      </c>
    </row>
    <row r="802" spans="16:17">
      <c r="P802" t="s">
        <v>595</v>
      </c>
      <c r="Q802">
        <v>2022</v>
      </c>
    </row>
    <row r="803" spans="16:17">
      <c r="P803" t="s">
        <v>445</v>
      </c>
      <c r="Q803">
        <v>2022</v>
      </c>
    </row>
    <row r="804" spans="16:17">
      <c r="P804" t="s">
        <v>2066</v>
      </c>
      <c r="Q804">
        <v>2022</v>
      </c>
    </row>
    <row r="805" spans="16:17">
      <c r="P805" t="s">
        <v>2067</v>
      </c>
      <c r="Q805">
        <v>2022</v>
      </c>
    </row>
    <row r="806" spans="16:17">
      <c r="P806" t="s">
        <v>1273</v>
      </c>
      <c r="Q806">
        <v>2022</v>
      </c>
    </row>
    <row r="807" spans="16:17">
      <c r="P807" t="s">
        <v>1269</v>
      </c>
      <c r="Q807">
        <v>2022</v>
      </c>
    </row>
    <row r="808" spans="16:17">
      <c r="P808" t="s">
        <v>1005</v>
      </c>
      <c r="Q808">
        <v>2022</v>
      </c>
    </row>
    <row r="809" spans="16:17">
      <c r="P809" t="s">
        <v>850</v>
      </c>
      <c r="Q809">
        <v>2022</v>
      </c>
    </row>
    <row r="810" spans="16:17">
      <c r="P810" t="s">
        <v>947</v>
      </c>
      <c r="Q810">
        <v>2022</v>
      </c>
    </row>
    <row r="811" spans="16:17">
      <c r="P811" t="s">
        <v>394</v>
      </c>
      <c r="Q811">
        <v>2022</v>
      </c>
    </row>
    <row r="812" spans="16:17">
      <c r="P812" t="s">
        <v>1202</v>
      </c>
      <c r="Q812">
        <v>2022</v>
      </c>
    </row>
    <row r="813" spans="16:17">
      <c r="P813" t="s">
        <v>2073</v>
      </c>
      <c r="Q813">
        <v>2022</v>
      </c>
    </row>
    <row r="814" spans="16:17">
      <c r="P814" t="s">
        <v>744</v>
      </c>
      <c r="Q814">
        <v>2022</v>
      </c>
    </row>
    <row r="815" spans="16:17">
      <c r="P815" t="s">
        <v>532</v>
      </c>
      <c r="Q815">
        <v>2022</v>
      </c>
    </row>
    <row r="816" spans="16:17">
      <c r="P816" t="s">
        <v>1469</v>
      </c>
      <c r="Q816">
        <v>2022</v>
      </c>
    </row>
    <row r="817" spans="16:17">
      <c r="P817" t="s">
        <v>458</v>
      </c>
      <c r="Q817">
        <v>2022</v>
      </c>
    </row>
    <row r="818" spans="16:17">
      <c r="P818" t="s">
        <v>1291</v>
      </c>
      <c r="Q818">
        <v>2022</v>
      </c>
    </row>
    <row r="819" spans="16:17">
      <c r="P819" t="s">
        <v>861</v>
      </c>
      <c r="Q819">
        <v>2022</v>
      </c>
    </row>
    <row r="820" spans="16:17">
      <c r="P820" t="s">
        <v>56</v>
      </c>
      <c r="Q820">
        <v>2022</v>
      </c>
    </row>
    <row r="821" spans="16:17">
      <c r="P821" t="s">
        <v>991</v>
      </c>
      <c r="Q821">
        <v>2022</v>
      </c>
    </row>
    <row r="822" spans="16:17">
      <c r="P822" t="s">
        <v>1345</v>
      </c>
      <c r="Q822">
        <v>2022</v>
      </c>
    </row>
    <row r="823" spans="16:17">
      <c r="P823" t="s">
        <v>1289</v>
      </c>
      <c r="Q823">
        <v>2022</v>
      </c>
    </row>
    <row r="824" spans="16:17">
      <c r="P824" t="s">
        <v>624</v>
      </c>
      <c r="Q824">
        <v>2022</v>
      </c>
    </row>
    <row r="825" spans="16:17">
      <c r="P825" t="s">
        <v>359</v>
      </c>
      <c r="Q825">
        <v>2022</v>
      </c>
    </row>
    <row r="826" spans="16:17">
      <c r="P826" t="s">
        <v>182</v>
      </c>
      <c r="Q826">
        <v>2022</v>
      </c>
    </row>
    <row r="827" spans="16:17">
      <c r="P827" t="s">
        <v>48</v>
      </c>
      <c r="Q827">
        <v>2022</v>
      </c>
    </row>
    <row r="828" spans="16:17">
      <c r="P828" t="s">
        <v>2081</v>
      </c>
      <c r="Q828">
        <v>2022</v>
      </c>
    </row>
    <row r="829" spans="16:17">
      <c r="P829" t="s">
        <v>270</v>
      </c>
      <c r="Q829">
        <v>2022</v>
      </c>
    </row>
    <row r="830" spans="16:17">
      <c r="P830" t="s">
        <v>1778</v>
      </c>
      <c r="Q830">
        <v>2022</v>
      </c>
    </row>
    <row r="831" spans="16:17">
      <c r="P831" t="s">
        <v>121</v>
      </c>
      <c r="Q831">
        <v>2022</v>
      </c>
    </row>
    <row r="832" spans="16:17">
      <c r="P832" t="s">
        <v>822</v>
      </c>
      <c r="Q832">
        <v>2022</v>
      </c>
    </row>
    <row r="833" spans="16:17">
      <c r="P833" t="s">
        <v>2085</v>
      </c>
      <c r="Q833">
        <v>2022</v>
      </c>
    </row>
    <row r="834" spans="16:17">
      <c r="P834" t="s">
        <v>904</v>
      </c>
      <c r="Q834">
        <v>2022</v>
      </c>
    </row>
    <row r="835" spans="16:17">
      <c r="P835" t="s">
        <v>1079</v>
      </c>
      <c r="Q835">
        <v>2022</v>
      </c>
    </row>
    <row r="836" spans="16:17">
      <c r="P836" t="s">
        <v>1216</v>
      </c>
      <c r="Q836">
        <v>2022</v>
      </c>
    </row>
    <row r="837" spans="16:17">
      <c r="P837" t="s">
        <v>1795</v>
      </c>
      <c r="Q837">
        <v>2022</v>
      </c>
    </row>
    <row r="838" spans="16:17">
      <c r="P838" t="s">
        <v>2090</v>
      </c>
      <c r="Q838">
        <v>2022</v>
      </c>
    </row>
    <row r="839" spans="16:17">
      <c r="P839" t="s">
        <v>2093</v>
      </c>
      <c r="Q839">
        <v>2022</v>
      </c>
    </row>
    <row r="840" spans="16:17">
      <c r="P840" t="s">
        <v>538</v>
      </c>
      <c r="Q840">
        <v>2022</v>
      </c>
    </row>
    <row r="841" spans="16:17">
      <c r="P841" t="s">
        <v>345</v>
      </c>
      <c r="Q841">
        <v>2022</v>
      </c>
    </row>
    <row r="842" spans="16:17">
      <c r="P842" t="s">
        <v>219</v>
      </c>
      <c r="Q842">
        <v>2022</v>
      </c>
    </row>
    <row r="843" spans="16:17">
      <c r="P843" t="s">
        <v>2096</v>
      </c>
      <c r="Q843">
        <v>2022</v>
      </c>
    </row>
    <row r="844" spans="16:17">
      <c r="P844" t="s">
        <v>2097</v>
      </c>
      <c r="Q844">
        <v>2022</v>
      </c>
    </row>
    <row r="845" spans="16:17">
      <c r="P845" t="s">
        <v>1169</v>
      </c>
      <c r="Q845">
        <v>2022</v>
      </c>
    </row>
    <row r="846" spans="16:17">
      <c r="P846" t="s">
        <v>447</v>
      </c>
      <c r="Q846">
        <v>2022</v>
      </c>
    </row>
    <row r="847" spans="16:17">
      <c r="P847" t="s">
        <v>246</v>
      </c>
      <c r="Q847">
        <v>2022</v>
      </c>
    </row>
    <row r="848" spans="16:17">
      <c r="P848" t="s">
        <v>2102</v>
      </c>
      <c r="Q848">
        <v>2022</v>
      </c>
    </row>
    <row r="849" spans="16:17">
      <c r="P849" t="s">
        <v>1559</v>
      </c>
      <c r="Q849">
        <v>2022</v>
      </c>
    </row>
    <row r="850" spans="16:17">
      <c r="P850" t="s">
        <v>2103</v>
      </c>
      <c r="Q850">
        <v>2022</v>
      </c>
    </row>
    <row r="851" spans="16:17">
      <c r="P851" t="s">
        <v>2105</v>
      </c>
      <c r="Q851">
        <v>2022</v>
      </c>
    </row>
    <row r="852" spans="16:17">
      <c r="P852" t="s">
        <v>2106</v>
      </c>
      <c r="Q852">
        <v>2022</v>
      </c>
    </row>
    <row r="853" spans="16:17">
      <c r="P853" t="s">
        <v>663</v>
      </c>
      <c r="Q853">
        <v>2022</v>
      </c>
    </row>
    <row r="854" spans="16:17">
      <c r="P854" t="s">
        <v>1844</v>
      </c>
      <c r="Q854">
        <v>2022</v>
      </c>
    </row>
    <row r="855" spans="16:17">
      <c r="P855" t="s">
        <v>1314</v>
      </c>
      <c r="Q855">
        <v>2022</v>
      </c>
    </row>
    <row r="856" spans="16:17">
      <c r="P856" t="s">
        <v>431</v>
      </c>
      <c r="Q856">
        <v>2022</v>
      </c>
    </row>
    <row r="857" spans="16:17">
      <c r="P857" t="s">
        <v>2109</v>
      </c>
      <c r="Q857">
        <v>2022</v>
      </c>
    </row>
    <row r="858" spans="16:17">
      <c r="P858" t="s">
        <v>74</v>
      </c>
      <c r="Q858">
        <v>2022</v>
      </c>
    </row>
    <row r="859" spans="16:17">
      <c r="P859" t="s">
        <v>1468</v>
      </c>
      <c r="Q859">
        <v>2022</v>
      </c>
    </row>
    <row r="860" spans="16:17">
      <c r="P860" t="s">
        <v>2113</v>
      </c>
      <c r="Q860">
        <v>2022</v>
      </c>
    </row>
    <row r="861" spans="16:17">
      <c r="P861" t="s">
        <v>734</v>
      </c>
      <c r="Q861">
        <v>2022</v>
      </c>
    </row>
    <row r="862" spans="16:17">
      <c r="P862" t="s">
        <v>2114</v>
      </c>
      <c r="Q862">
        <v>2022</v>
      </c>
    </row>
    <row r="863" spans="16:17">
      <c r="P863" t="s">
        <v>1225</v>
      </c>
      <c r="Q863">
        <v>2022</v>
      </c>
    </row>
    <row r="864" spans="16:17">
      <c r="P864" t="s">
        <v>961</v>
      </c>
      <c r="Q864">
        <v>2022</v>
      </c>
    </row>
    <row r="865" spans="16:17">
      <c r="P865" t="s">
        <v>2117</v>
      </c>
      <c r="Q865">
        <v>2022</v>
      </c>
    </row>
    <row r="866" spans="16:17">
      <c r="P866" t="s">
        <v>1667</v>
      </c>
      <c r="Q866">
        <v>2022</v>
      </c>
    </row>
    <row r="867" spans="16:17">
      <c r="P867" t="s">
        <v>1536</v>
      </c>
      <c r="Q867">
        <v>2022</v>
      </c>
    </row>
    <row r="868" spans="16:17">
      <c r="P868" t="s">
        <v>877</v>
      </c>
      <c r="Q868">
        <v>2022</v>
      </c>
    </row>
    <row r="869" spans="16:17">
      <c r="P869" t="s">
        <v>28</v>
      </c>
      <c r="Q869">
        <v>2022</v>
      </c>
    </row>
    <row r="870" spans="16:17">
      <c r="P870" t="s">
        <v>569</v>
      </c>
      <c r="Q870">
        <v>2022</v>
      </c>
    </row>
    <row r="871" spans="16:17">
      <c r="P871" t="s">
        <v>2119</v>
      </c>
      <c r="Q871">
        <v>2022</v>
      </c>
    </row>
    <row r="872" spans="16:17">
      <c r="P872" t="s">
        <v>378</v>
      </c>
      <c r="Q872">
        <v>2022</v>
      </c>
    </row>
    <row r="873" spans="16:17">
      <c r="P873" t="s">
        <v>1123</v>
      </c>
      <c r="Q873">
        <v>2022</v>
      </c>
    </row>
    <row r="874" spans="16:17">
      <c r="P874" t="s">
        <v>1780</v>
      </c>
      <c r="Q874">
        <v>2022</v>
      </c>
    </row>
    <row r="875" spans="16:17">
      <c r="P875" t="s">
        <v>34</v>
      </c>
      <c r="Q875">
        <v>2022</v>
      </c>
    </row>
    <row r="876" spans="16:17">
      <c r="P876" t="s">
        <v>975</v>
      </c>
      <c r="Q876">
        <v>2022</v>
      </c>
    </row>
    <row r="877" spans="16:17">
      <c r="P877" t="s">
        <v>1183</v>
      </c>
      <c r="Q877">
        <v>2022</v>
      </c>
    </row>
    <row r="878" spans="16:17">
      <c r="P878" t="s">
        <v>2126</v>
      </c>
      <c r="Q878">
        <v>2022</v>
      </c>
    </row>
    <row r="879" spans="16:17">
      <c r="P879" t="s">
        <v>919</v>
      </c>
      <c r="Q879">
        <v>2022</v>
      </c>
    </row>
    <row r="880" spans="16:17">
      <c r="P880" t="s">
        <v>1014</v>
      </c>
      <c r="Q880">
        <v>2022</v>
      </c>
    </row>
    <row r="881" spans="16:17">
      <c r="P881" t="s">
        <v>222</v>
      </c>
      <c r="Q881">
        <v>2022</v>
      </c>
    </row>
    <row r="882" spans="16:17">
      <c r="P882" t="s">
        <v>2128</v>
      </c>
      <c r="Q882">
        <v>2022</v>
      </c>
    </row>
    <row r="883" spans="16:17">
      <c r="P883" t="s">
        <v>796</v>
      </c>
      <c r="Q883">
        <v>2022</v>
      </c>
    </row>
    <row r="884" spans="16:17">
      <c r="P884" t="s">
        <v>1124</v>
      </c>
      <c r="Q884">
        <v>2022</v>
      </c>
    </row>
    <row r="885" spans="16:17">
      <c r="P885" t="s">
        <v>686</v>
      </c>
      <c r="Q885">
        <v>2022</v>
      </c>
    </row>
    <row r="886" spans="16:17">
      <c r="P886" t="s">
        <v>2133</v>
      </c>
      <c r="Q886">
        <v>2022</v>
      </c>
    </row>
    <row r="887" spans="16:17">
      <c r="P887" t="s">
        <v>1665</v>
      </c>
      <c r="Q887">
        <v>2022</v>
      </c>
    </row>
    <row r="888" spans="16:17">
      <c r="P888" t="s">
        <v>1165</v>
      </c>
      <c r="Q888">
        <v>2022</v>
      </c>
    </row>
    <row r="889" spans="16:17">
      <c r="P889" t="s">
        <v>415</v>
      </c>
      <c r="Q889">
        <v>2022</v>
      </c>
    </row>
    <row r="890" spans="16:17">
      <c r="P890" t="s">
        <v>770</v>
      </c>
      <c r="Q890">
        <v>2022</v>
      </c>
    </row>
    <row r="891" spans="16:17">
      <c r="P891" t="s">
        <v>516</v>
      </c>
      <c r="Q891">
        <v>2022</v>
      </c>
    </row>
    <row r="892" spans="16:17">
      <c r="P892" t="s">
        <v>307</v>
      </c>
      <c r="Q892">
        <v>2022</v>
      </c>
    </row>
    <row r="893" spans="16:17">
      <c r="P893" t="s">
        <v>2139</v>
      </c>
      <c r="Q893">
        <v>2022</v>
      </c>
    </row>
    <row r="894" spans="16:17">
      <c r="P894" t="s">
        <v>2140</v>
      </c>
      <c r="Q894">
        <v>2022</v>
      </c>
    </row>
    <row r="895" spans="16:17">
      <c r="P895" t="s">
        <v>1546</v>
      </c>
      <c r="Q895">
        <v>2022</v>
      </c>
    </row>
    <row r="896" spans="16:17">
      <c r="P896" t="s">
        <v>1805</v>
      </c>
      <c r="Q896">
        <v>2022</v>
      </c>
    </row>
    <row r="897" spans="16:17">
      <c r="P897" t="s">
        <v>1371</v>
      </c>
      <c r="Q897">
        <v>2022</v>
      </c>
    </row>
    <row r="898" spans="16:17">
      <c r="P898" t="s">
        <v>2147</v>
      </c>
      <c r="Q898">
        <v>2022</v>
      </c>
    </row>
    <row r="899" spans="16:17">
      <c r="P899" t="s">
        <v>1174</v>
      </c>
      <c r="Q899">
        <v>2022</v>
      </c>
    </row>
    <row r="900" spans="16:17">
      <c r="P900" t="s">
        <v>492</v>
      </c>
      <c r="Q900">
        <v>2022</v>
      </c>
    </row>
    <row r="901" spans="16:17">
      <c r="P901" t="s">
        <v>2149</v>
      </c>
      <c r="Q901">
        <v>2022</v>
      </c>
    </row>
    <row r="902" spans="16:17">
      <c r="P902" t="s">
        <v>1305</v>
      </c>
      <c r="Q902">
        <v>2022</v>
      </c>
    </row>
    <row r="903" spans="16:17">
      <c r="P903" t="s">
        <v>1721</v>
      </c>
      <c r="Q903">
        <v>2022</v>
      </c>
    </row>
    <row r="904" spans="16:17">
      <c r="P904" t="s">
        <v>1740</v>
      </c>
      <c r="Q904">
        <v>2022</v>
      </c>
    </row>
    <row r="905" spans="16:17">
      <c r="P905" t="s">
        <v>521</v>
      </c>
      <c r="Q905">
        <v>2022</v>
      </c>
    </row>
    <row r="906" spans="16:17">
      <c r="P906" t="s">
        <v>902</v>
      </c>
      <c r="Q906">
        <v>2022</v>
      </c>
    </row>
    <row r="907" spans="16:17">
      <c r="P907" t="s">
        <v>1842</v>
      </c>
      <c r="Q907">
        <v>2022</v>
      </c>
    </row>
    <row r="908" spans="16:17">
      <c r="P908" t="s">
        <v>235</v>
      </c>
      <c r="Q908">
        <v>2022</v>
      </c>
    </row>
    <row r="909" spans="16:17">
      <c r="P909" t="s">
        <v>1516</v>
      </c>
      <c r="Q909">
        <v>2022</v>
      </c>
    </row>
    <row r="910" spans="16:17">
      <c r="P910" t="s">
        <v>1753</v>
      </c>
      <c r="Q910">
        <v>2022</v>
      </c>
    </row>
    <row r="911" spans="16:17">
      <c r="P911" t="s">
        <v>2158</v>
      </c>
      <c r="Q911">
        <v>2022</v>
      </c>
    </row>
    <row r="912" spans="16:17">
      <c r="P912" t="s">
        <v>71</v>
      </c>
      <c r="Q912">
        <v>2022</v>
      </c>
    </row>
    <row r="913" spans="16:17">
      <c r="P913" t="s">
        <v>173</v>
      </c>
      <c r="Q913">
        <v>2022</v>
      </c>
    </row>
    <row r="914" spans="16:17">
      <c r="P914" t="s">
        <v>1865</v>
      </c>
      <c r="Q914">
        <v>2022</v>
      </c>
    </row>
    <row r="915" spans="16:17">
      <c r="P915" t="s">
        <v>2164</v>
      </c>
      <c r="Q915">
        <v>2022</v>
      </c>
    </row>
    <row r="916" spans="16:17">
      <c r="P916" t="s">
        <v>1244</v>
      </c>
      <c r="Q916">
        <v>2022</v>
      </c>
    </row>
    <row r="917" spans="16:17">
      <c r="P917" t="s">
        <v>489</v>
      </c>
      <c r="Q917">
        <v>2022</v>
      </c>
    </row>
    <row r="918" spans="16:17">
      <c r="P918" t="s">
        <v>2166</v>
      </c>
      <c r="Q918">
        <v>2022</v>
      </c>
    </row>
    <row r="919" spans="16:17">
      <c r="P919" t="s">
        <v>2168</v>
      </c>
      <c r="Q919">
        <v>2022</v>
      </c>
    </row>
    <row r="920" spans="16:17">
      <c r="P920" t="s">
        <v>52</v>
      </c>
      <c r="Q920">
        <v>2022</v>
      </c>
    </row>
    <row r="921" spans="16:17">
      <c r="P921" t="s">
        <v>959</v>
      </c>
      <c r="Q921">
        <v>2022</v>
      </c>
    </row>
    <row r="922" spans="16:17">
      <c r="P922" t="s">
        <v>771</v>
      </c>
      <c r="Q922">
        <v>2022</v>
      </c>
    </row>
    <row r="923" spans="16:17">
      <c r="P923" t="s">
        <v>923</v>
      </c>
      <c r="Q923">
        <v>2022</v>
      </c>
    </row>
    <row r="924" spans="16:17">
      <c r="P924" t="s">
        <v>1431</v>
      </c>
      <c r="Q924">
        <v>2022</v>
      </c>
    </row>
    <row r="925" spans="16:17">
      <c r="P925" t="s">
        <v>881</v>
      </c>
      <c r="Q925">
        <v>2022</v>
      </c>
    </row>
    <row r="926" spans="16:17">
      <c r="P926" t="s">
        <v>1454</v>
      </c>
      <c r="Q926">
        <v>2022</v>
      </c>
    </row>
    <row r="927" spans="16:17">
      <c r="P927" t="s">
        <v>178</v>
      </c>
      <c r="Q927">
        <v>2022</v>
      </c>
    </row>
    <row r="928" spans="16:17">
      <c r="P928" t="s">
        <v>1188</v>
      </c>
      <c r="Q928">
        <v>2022</v>
      </c>
    </row>
    <row r="929" spans="16:17">
      <c r="P929" t="s">
        <v>927</v>
      </c>
      <c r="Q929">
        <v>2022</v>
      </c>
    </row>
    <row r="930" spans="16:17">
      <c r="P930" t="s">
        <v>1150</v>
      </c>
      <c r="Q930">
        <v>2022</v>
      </c>
    </row>
    <row r="931" spans="16:17">
      <c r="P931" t="s">
        <v>1426</v>
      </c>
      <c r="Q931">
        <v>2022</v>
      </c>
    </row>
    <row r="932" spans="16:17">
      <c r="P932" t="s">
        <v>1799</v>
      </c>
      <c r="Q932">
        <v>2022</v>
      </c>
    </row>
    <row r="933" spans="16:17">
      <c r="P933" t="s">
        <v>502</v>
      </c>
      <c r="Q933">
        <v>2022</v>
      </c>
    </row>
    <row r="934" spans="16:17">
      <c r="P934" t="s">
        <v>841</v>
      </c>
      <c r="Q934">
        <v>2022</v>
      </c>
    </row>
    <row r="935" spans="16:17">
      <c r="P935" t="s">
        <v>2176</v>
      </c>
      <c r="Q935">
        <v>2022</v>
      </c>
    </row>
    <row r="936" spans="16:17">
      <c r="P936" t="s">
        <v>1695</v>
      </c>
      <c r="Q936">
        <v>2022</v>
      </c>
    </row>
    <row r="937" spans="16:17">
      <c r="P937" t="s">
        <v>1491</v>
      </c>
      <c r="Q937">
        <v>2022</v>
      </c>
    </row>
    <row r="938" spans="16:17">
      <c r="P938" t="s">
        <v>2178</v>
      </c>
      <c r="Q938">
        <v>2022</v>
      </c>
    </row>
    <row r="939" spans="16:17">
      <c r="P939" t="s">
        <v>751</v>
      </c>
      <c r="Q939">
        <v>2022</v>
      </c>
    </row>
    <row r="940" spans="16:17">
      <c r="P940" t="s">
        <v>2181</v>
      </c>
      <c r="Q940">
        <v>2022</v>
      </c>
    </row>
    <row r="941" spans="16:17">
      <c r="P941" t="s">
        <v>2185</v>
      </c>
      <c r="Q941">
        <v>2022</v>
      </c>
    </row>
    <row r="942" spans="16:17">
      <c r="P942" t="s">
        <v>591</v>
      </c>
      <c r="Q942">
        <v>2022</v>
      </c>
    </row>
    <row r="943" spans="16:17">
      <c r="P943" t="s">
        <v>669</v>
      </c>
      <c r="Q943">
        <v>2022</v>
      </c>
    </row>
    <row r="944" spans="16:17">
      <c r="P944" t="s">
        <v>500</v>
      </c>
      <c r="Q944">
        <v>2022</v>
      </c>
    </row>
    <row r="945" spans="16:17">
      <c r="P945" t="s">
        <v>230</v>
      </c>
      <c r="Q945">
        <v>2022</v>
      </c>
    </row>
    <row r="946" spans="16:17">
      <c r="P946" t="s">
        <v>1549</v>
      </c>
      <c r="Q946">
        <v>2022</v>
      </c>
    </row>
    <row r="947" spans="16:17">
      <c r="P947" t="s">
        <v>1565</v>
      </c>
      <c r="Q947">
        <v>2022</v>
      </c>
    </row>
    <row r="948" spans="16:17">
      <c r="P948" t="s">
        <v>719</v>
      </c>
      <c r="Q948">
        <v>2022</v>
      </c>
    </row>
    <row r="949" spans="16:17">
      <c r="P949" t="s">
        <v>2190</v>
      </c>
      <c r="Q949">
        <v>2022</v>
      </c>
    </row>
    <row r="950" spans="16:17">
      <c r="P950" t="s">
        <v>1783</v>
      </c>
      <c r="Q950">
        <v>2022</v>
      </c>
    </row>
    <row r="951" spans="16:17">
      <c r="P951" t="s">
        <v>145</v>
      </c>
      <c r="Q951">
        <v>2022</v>
      </c>
    </row>
    <row r="952" spans="16:17">
      <c r="P952" t="s">
        <v>1275</v>
      </c>
      <c r="Q952">
        <v>2022</v>
      </c>
    </row>
    <row r="953" spans="16:17">
      <c r="P953" t="s">
        <v>2192</v>
      </c>
      <c r="Q953">
        <v>2022</v>
      </c>
    </row>
    <row r="954" spans="16:17">
      <c r="P954" t="s">
        <v>773</v>
      </c>
      <c r="Q954">
        <v>2022</v>
      </c>
    </row>
    <row r="955" spans="16:17">
      <c r="P955" t="s">
        <v>1663</v>
      </c>
      <c r="Q955">
        <v>2022</v>
      </c>
    </row>
    <row r="956" spans="16:17">
      <c r="P956" t="s">
        <v>2199</v>
      </c>
      <c r="Q956">
        <v>2022</v>
      </c>
    </row>
    <row r="957" spans="16:17">
      <c r="P957" t="s">
        <v>2201</v>
      </c>
      <c r="Q957">
        <v>2022</v>
      </c>
    </row>
    <row r="958" spans="16:17">
      <c r="P958" t="s">
        <v>1048</v>
      </c>
      <c r="Q958">
        <v>2022</v>
      </c>
    </row>
    <row r="959" spans="16:17">
      <c r="P959" t="s">
        <v>338</v>
      </c>
      <c r="Q959">
        <v>2022</v>
      </c>
    </row>
    <row r="960" spans="16:17">
      <c r="P960" t="s">
        <v>2207</v>
      </c>
      <c r="Q960">
        <v>2022</v>
      </c>
    </row>
    <row r="961" spans="16:17">
      <c r="P961" t="s">
        <v>2208</v>
      </c>
      <c r="Q961">
        <v>2022</v>
      </c>
    </row>
    <row r="962" spans="16:17">
      <c r="P962" t="s">
        <v>685</v>
      </c>
      <c r="Q962">
        <v>2022</v>
      </c>
    </row>
    <row r="963" spans="16:17">
      <c r="P963" t="s">
        <v>2211</v>
      </c>
      <c r="Q963">
        <v>2022</v>
      </c>
    </row>
    <row r="964" spans="16:17">
      <c r="P964" t="s">
        <v>354</v>
      </c>
      <c r="Q964">
        <v>2022</v>
      </c>
    </row>
    <row r="965" spans="16:17">
      <c r="P965" t="s">
        <v>2214</v>
      </c>
      <c r="Q965">
        <v>2022</v>
      </c>
    </row>
    <row r="966" spans="16:17">
      <c r="P966" t="s">
        <v>1537</v>
      </c>
      <c r="Q966">
        <v>2022</v>
      </c>
    </row>
    <row r="967" spans="16:17">
      <c r="P967" t="s">
        <v>1195</v>
      </c>
      <c r="Q967">
        <v>2022</v>
      </c>
    </row>
    <row r="968" spans="16:17">
      <c r="P968" t="s">
        <v>1336</v>
      </c>
      <c r="Q968">
        <v>2022</v>
      </c>
    </row>
    <row r="969" spans="16:17">
      <c r="P969" t="s">
        <v>603</v>
      </c>
      <c r="Q969">
        <v>2022</v>
      </c>
    </row>
    <row r="970" spans="16:17">
      <c r="P970" t="s">
        <v>1631</v>
      </c>
      <c r="Q970">
        <v>2022</v>
      </c>
    </row>
    <row r="971" spans="16:17">
      <c r="P971" t="s">
        <v>1415</v>
      </c>
      <c r="Q971">
        <v>2022</v>
      </c>
    </row>
    <row r="972" spans="16:17">
      <c r="P972" t="s">
        <v>1657</v>
      </c>
      <c r="Q972">
        <v>2022</v>
      </c>
    </row>
    <row r="973" spans="16:17">
      <c r="P973" t="s">
        <v>405</v>
      </c>
      <c r="Q973">
        <v>2022</v>
      </c>
    </row>
    <row r="974" spans="16:17">
      <c r="P974" t="s">
        <v>1046</v>
      </c>
      <c r="Q974">
        <v>2022</v>
      </c>
    </row>
    <row r="975" spans="16:17">
      <c r="P975" t="s">
        <v>1007</v>
      </c>
      <c r="Q975">
        <v>2022</v>
      </c>
    </row>
    <row r="976" spans="16:17">
      <c r="P976" t="s">
        <v>2224</v>
      </c>
      <c r="Q976">
        <v>2022</v>
      </c>
    </row>
    <row r="977" spans="16:17">
      <c r="P977" t="s">
        <v>1828</v>
      </c>
      <c r="Q977">
        <v>2022</v>
      </c>
    </row>
    <row r="978" spans="16:17">
      <c r="P978" t="s">
        <v>571</v>
      </c>
      <c r="Q978">
        <v>2022</v>
      </c>
    </row>
    <row r="979" spans="16:17">
      <c r="P979" t="s">
        <v>2227</v>
      </c>
      <c r="Q979">
        <v>2022</v>
      </c>
    </row>
    <row r="980" spans="16:17">
      <c r="P980" t="s">
        <v>1701</v>
      </c>
      <c r="Q980">
        <v>2022</v>
      </c>
    </row>
    <row r="981" spans="16:17">
      <c r="P981" t="s">
        <v>83</v>
      </c>
      <c r="Q981">
        <v>2022</v>
      </c>
    </row>
    <row r="982" spans="16:17">
      <c r="P982" t="s">
        <v>1097</v>
      </c>
      <c r="Q982">
        <v>2022</v>
      </c>
    </row>
    <row r="983" spans="16:17">
      <c r="P983" t="s">
        <v>1232</v>
      </c>
      <c r="Q983">
        <v>2022</v>
      </c>
    </row>
    <row r="984" spans="16:17">
      <c r="P984" t="s">
        <v>1445</v>
      </c>
      <c r="Q984">
        <v>2022</v>
      </c>
    </row>
    <row r="985" spans="16:17">
      <c r="P985" t="s">
        <v>2232</v>
      </c>
      <c r="Q985">
        <v>2022</v>
      </c>
    </row>
    <row r="986" spans="16:17">
      <c r="P986" t="s">
        <v>261</v>
      </c>
      <c r="Q986">
        <v>2022</v>
      </c>
    </row>
    <row r="987" spans="16:17">
      <c r="P987" t="s">
        <v>527</v>
      </c>
      <c r="Q987">
        <v>2022</v>
      </c>
    </row>
    <row r="988" spans="16:17">
      <c r="P988" t="s">
        <v>2234</v>
      </c>
      <c r="Q988">
        <v>2022</v>
      </c>
    </row>
    <row r="989" spans="16:17">
      <c r="P989" t="s">
        <v>1870</v>
      </c>
      <c r="Q989">
        <v>2022</v>
      </c>
    </row>
    <row r="990" spans="16:17">
      <c r="P990" t="s">
        <v>639</v>
      </c>
      <c r="Q990">
        <v>2022</v>
      </c>
    </row>
    <row r="991" spans="16:17">
      <c r="P991" t="s">
        <v>914</v>
      </c>
      <c r="Q991">
        <v>2022</v>
      </c>
    </row>
    <row r="992" spans="16:17">
      <c r="P992" t="s">
        <v>585</v>
      </c>
      <c r="Q992">
        <v>2022</v>
      </c>
    </row>
    <row r="993" spans="16:17">
      <c r="P993" t="s">
        <v>653</v>
      </c>
      <c r="Q993">
        <v>2022</v>
      </c>
    </row>
    <row r="994" spans="16:17">
      <c r="P994" t="s">
        <v>1833</v>
      </c>
      <c r="Q994">
        <v>2022</v>
      </c>
    </row>
    <row r="995" spans="16:17">
      <c r="P995" t="s">
        <v>594</v>
      </c>
      <c r="Q995">
        <v>2022</v>
      </c>
    </row>
    <row r="996" spans="16:17">
      <c r="P996" t="s">
        <v>1530</v>
      </c>
      <c r="Q996">
        <v>2022</v>
      </c>
    </row>
    <row r="997" spans="16:17">
      <c r="P997" t="s">
        <v>2244</v>
      </c>
      <c r="Q997">
        <v>2022</v>
      </c>
    </row>
    <row r="998" spans="16:17">
      <c r="P998" t="s">
        <v>385</v>
      </c>
      <c r="Q998">
        <v>2022</v>
      </c>
    </row>
    <row r="999" spans="16:17">
      <c r="P999" t="s">
        <v>1698</v>
      </c>
      <c r="Q999">
        <v>2022</v>
      </c>
    </row>
    <row r="1000" spans="16:17">
      <c r="P1000" t="s">
        <v>632</v>
      </c>
      <c r="Q1000">
        <v>2022</v>
      </c>
    </row>
    <row r="1001" spans="16:17">
      <c r="P1001" t="s">
        <v>2246</v>
      </c>
      <c r="Q1001">
        <v>2022</v>
      </c>
    </row>
    <row r="1002" spans="16:17">
      <c r="P1002" t="s">
        <v>2248</v>
      </c>
      <c r="Q1002">
        <v>2022</v>
      </c>
    </row>
    <row r="1003" spans="16:17">
      <c r="P1003" t="s">
        <v>158</v>
      </c>
      <c r="Q1003">
        <v>2022</v>
      </c>
    </row>
    <row r="1004" spans="16:17">
      <c r="P1004" t="s">
        <v>1479</v>
      </c>
      <c r="Q1004">
        <v>2022</v>
      </c>
    </row>
    <row r="1005" spans="16:17">
      <c r="P1005" t="s">
        <v>2250</v>
      </c>
      <c r="Q1005">
        <v>2022</v>
      </c>
    </row>
    <row r="1006" spans="16:17">
      <c r="P1006" t="s">
        <v>1499</v>
      </c>
      <c r="Q1006">
        <v>2022</v>
      </c>
    </row>
    <row r="1007" spans="16:17">
      <c r="P1007" t="s">
        <v>2254</v>
      </c>
      <c r="Q1007">
        <v>2022</v>
      </c>
    </row>
    <row r="1008" spans="16:17">
      <c r="P1008" t="s">
        <v>2255</v>
      </c>
      <c r="Q1008">
        <v>2022</v>
      </c>
    </row>
    <row r="1009" spans="16:17">
      <c r="P1009" t="s">
        <v>2256</v>
      </c>
      <c r="Q1009">
        <v>2022</v>
      </c>
    </row>
    <row r="1010" spans="16:17">
      <c r="P1010" t="s">
        <v>243</v>
      </c>
      <c r="Q1010">
        <v>2022</v>
      </c>
    </row>
    <row r="1011" spans="16:17">
      <c r="P1011" t="s">
        <v>239</v>
      </c>
      <c r="Q1011">
        <v>2022</v>
      </c>
    </row>
    <row r="1012" spans="16:17">
      <c r="P1012" t="s">
        <v>578</v>
      </c>
      <c r="Q1012">
        <v>2022</v>
      </c>
    </row>
    <row r="1013" spans="16:17">
      <c r="P1013" t="s">
        <v>666</v>
      </c>
      <c r="Q1013">
        <v>2022</v>
      </c>
    </row>
    <row r="1014" spans="16:17">
      <c r="P1014" t="s">
        <v>1578</v>
      </c>
      <c r="Q1014">
        <v>2022</v>
      </c>
    </row>
    <row r="1015" spans="16:17">
      <c r="P1015" t="s">
        <v>1576</v>
      </c>
      <c r="Q1015">
        <v>2022</v>
      </c>
    </row>
    <row r="1016" spans="16:17">
      <c r="P1016" t="s">
        <v>1066</v>
      </c>
      <c r="Q1016">
        <v>2022</v>
      </c>
    </row>
    <row r="1017" spans="16:17">
      <c r="P1017" t="s">
        <v>161</v>
      </c>
      <c r="Q1017">
        <v>2022</v>
      </c>
    </row>
    <row r="1018" spans="16:17">
      <c r="P1018" t="s">
        <v>1117</v>
      </c>
      <c r="Q1018">
        <v>2022</v>
      </c>
    </row>
    <row r="1019" spans="16:17">
      <c r="P1019" t="s">
        <v>2261</v>
      </c>
      <c r="Q1019">
        <v>2022</v>
      </c>
    </row>
    <row r="1020" spans="16:17">
      <c r="P1020" t="s">
        <v>1674</v>
      </c>
      <c r="Q1020">
        <v>2022</v>
      </c>
    </row>
    <row r="1021" spans="16:17">
      <c r="P1021" t="s">
        <v>2264</v>
      </c>
      <c r="Q1021">
        <v>2022</v>
      </c>
    </row>
    <row r="1022" spans="16:17">
      <c r="P1022" t="s">
        <v>407</v>
      </c>
      <c r="Q1022">
        <v>2022</v>
      </c>
    </row>
    <row r="1023" spans="16:17">
      <c r="P1023" t="s">
        <v>1086</v>
      </c>
      <c r="Q1023">
        <v>2022</v>
      </c>
    </row>
    <row r="1024" spans="16:17">
      <c r="P1024" t="s">
        <v>1625</v>
      </c>
      <c r="Q1024">
        <v>2022</v>
      </c>
    </row>
    <row r="1025" spans="16:17">
      <c r="P1025" t="s">
        <v>16</v>
      </c>
      <c r="Q1025">
        <v>2022</v>
      </c>
    </row>
    <row r="1026" spans="16:17">
      <c r="P1026" t="s">
        <v>2267</v>
      </c>
      <c r="Q1026">
        <v>2022</v>
      </c>
    </row>
    <row r="1027" spans="16:17">
      <c r="P1027" t="s">
        <v>85</v>
      </c>
      <c r="Q1027">
        <v>2022</v>
      </c>
    </row>
    <row r="1028" spans="16:17">
      <c r="P1028" t="s">
        <v>1773</v>
      </c>
      <c r="Q1028">
        <v>2022</v>
      </c>
    </row>
    <row r="1029" spans="16:17">
      <c r="P1029" t="s">
        <v>199</v>
      </c>
      <c r="Q1029">
        <v>2022</v>
      </c>
    </row>
    <row r="1030" spans="16:17">
      <c r="P1030" t="s">
        <v>793</v>
      </c>
      <c r="Q1030">
        <v>2022</v>
      </c>
    </row>
    <row r="1031" spans="16:17">
      <c r="P1031" t="s">
        <v>2272</v>
      </c>
      <c r="Q1031">
        <v>2022</v>
      </c>
    </row>
    <row r="1032" spans="16:17">
      <c r="P1032" t="s">
        <v>2273</v>
      </c>
      <c r="Q1032">
        <v>2022</v>
      </c>
    </row>
    <row r="1033" spans="16:17">
      <c r="P1033" t="s">
        <v>940</v>
      </c>
      <c r="Q1033">
        <v>2022</v>
      </c>
    </row>
    <row r="1034" spans="16:17">
      <c r="P1034" t="s">
        <v>1682</v>
      </c>
      <c r="Q1034">
        <v>2022</v>
      </c>
    </row>
    <row r="1035" spans="16:17">
      <c r="P1035" t="s">
        <v>1622</v>
      </c>
      <c r="Q1035">
        <v>2022</v>
      </c>
    </row>
    <row r="1036" spans="16:17">
      <c r="P1036" t="s">
        <v>2278</v>
      </c>
      <c r="Q1036">
        <v>2022</v>
      </c>
    </row>
    <row r="1037" spans="16:17">
      <c r="P1037" t="s">
        <v>1163</v>
      </c>
      <c r="Q1037">
        <v>2022</v>
      </c>
    </row>
    <row r="1038" spans="16:17">
      <c r="P1038" t="s">
        <v>1385</v>
      </c>
      <c r="Q1038">
        <v>2022</v>
      </c>
    </row>
    <row r="1039" spans="16:17">
      <c r="P1039" t="s">
        <v>2279</v>
      </c>
      <c r="Q1039">
        <v>2022</v>
      </c>
    </row>
    <row r="1040" spans="16:17">
      <c r="P1040" t="s">
        <v>452</v>
      </c>
      <c r="Q1040">
        <v>2022</v>
      </c>
    </row>
    <row r="1041" spans="16:17">
      <c r="P1041" t="s">
        <v>677</v>
      </c>
      <c r="Q1041">
        <v>2022</v>
      </c>
    </row>
    <row r="1042" spans="16:17">
      <c r="P1042" t="s">
        <v>1768</v>
      </c>
      <c r="Q1042">
        <v>2022</v>
      </c>
    </row>
    <row r="1043" spans="16:17">
      <c r="P1043" t="s">
        <v>421</v>
      </c>
      <c r="Q1043">
        <v>2022</v>
      </c>
    </row>
    <row r="1044" spans="16:17">
      <c r="P1044" t="s">
        <v>2282</v>
      </c>
      <c r="Q1044">
        <v>2022</v>
      </c>
    </row>
    <row r="1045" spans="16:17">
      <c r="P1045" t="s">
        <v>1489</v>
      </c>
      <c r="Q1045">
        <v>2022</v>
      </c>
    </row>
    <row r="1046" spans="16:17">
      <c r="P1046" t="s">
        <v>2284</v>
      </c>
      <c r="Q1046">
        <v>2022</v>
      </c>
    </row>
    <row r="1047" spans="16:17">
      <c r="P1047" t="s">
        <v>1764</v>
      </c>
      <c r="Q1047">
        <v>2022</v>
      </c>
    </row>
    <row r="1048" spans="16:17">
      <c r="P1048" t="s">
        <v>925</v>
      </c>
      <c r="Q1048">
        <v>2022</v>
      </c>
    </row>
    <row r="1049" spans="16:17">
      <c r="P1049" t="s">
        <v>824</v>
      </c>
      <c r="Q1049">
        <v>2022</v>
      </c>
    </row>
    <row r="1050" spans="16:17">
      <c r="P1050" t="s">
        <v>1735</v>
      </c>
      <c r="Q1050">
        <v>2022</v>
      </c>
    </row>
    <row r="1051" spans="16:17">
      <c r="P1051" t="s">
        <v>2286</v>
      </c>
      <c r="Q1051">
        <v>2022</v>
      </c>
    </row>
    <row r="1052" spans="16:17">
      <c r="P1052" t="s">
        <v>1550</v>
      </c>
      <c r="Q1052">
        <v>2022</v>
      </c>
    </row>
    <row r="1053" spans="16:17">
      <c r="P1053" t="s">
        <v>645</v>
      </c>
      <c r="Q1053">
        <v>2022</v>
      </c>
    </row>
    <row r="1054" spans="16:17">
      <c r="P1054" t="s">
        <v>2288</v>
      </c>
      <c r="Q1054">
        <v>2022</v>
      </c>
    </row>
    <row r="1055" spans="16:17">
      <c r="P1055" t="s">
        <v>241</v>
      </c>
      <c r="Q1055">
        <v>2022</v>
      </c>
    </row>
    <row r="1056" spans="16:17">
      <c r="P1056" t="s">
        <v>1303</v>
      </c>
      <c r="Q1056">
        <v>2022</v>
      </c>
    </row>
    <row r="1057" spans="16:17">
      <c r="P1057" t="s">
        <v>604</v>
      </c>
      <c r="Q1057">
        <v>2022</v>
      </c>
    </row>
    <row r="1058" spans="16:17">
      <c r="P1058" t="s">
        <v>762</v>
      </c>
      <c r="Q1058">
        <v>2022</v>
      </c>
    </row>
    <row r="1059" spans="16:17">
      <c r="P1059" t="s">
        <v>2296</v>
      </c>
      <c r="Q1059">
        <v>2022</v>
      </c>
    </row>
    <row r="1060" spans="16:17">
      <c r="P1060" t="s">
        <v>1377</v>
      </c>
      <c r="Q1060">
        <v>2022</v>
      </c>
    </row>
    <row r="1061" spans="16:17">
      <c r="P1061" t="s">
        <v>815</v>
      </c>
      <c r="Q1061">
        <v>2022</v>
      </c>
    </row>
    <row r="1062" spans="16:17">
      <c r="P1062" t="s">
        <v>2300</v>
      </c>
      <c r="Q1062">
        <v>2022</v>
      </c>
    </row>
    <row r="1063" spans="16:17">
      <c r="P1063" t="s">
        <v>204</v>
      </c>
      <c r="Q1063">
        <v>2022</v>
      </c>
    </row>
    <row r="1064" spans="16:17">
      <c r="P1064" t="s">
        <v>628</v>
      </c>
      <c r="Q1064">
        <v>2022</v>
      </c>
    </row>
    <row r="1065" spans="16:17">
      <c r="P1065" t="s">
        <v>279</v>
      </c>
      <c r="Q1065">
        <v>2022</v>
      </c>
    </row>
    <row r="1066" spans="16:17">
      <c r="P1066" t="s">
        <v>2308</v>
      </c>
      <c r="Q1066">
        <v>2022</v>
      </c>
    </row>
    <row r="1067" spans="16:17">
      <c r="P1067" t="s">
        <v>494</v>
      </c>
      <c r="Q1067">
        <v>2022</v>
      </c>
    </row>
    <row r="1068" spans="16:17">
      <c r="P1068" t="s">
        <v>336</v>
      </c>
      <c r="Q1068">
        <v>2022</v>
      </c>
    </row>
    <row r="1069" spans="16:17">
      <c r="P1069" t="s">
        <v>1564</v>
      </c>
      <c r="Q1069">
        <v>2022</v>
      </c>
    </row>
    <row r="1070" spans="16:17">
      <c r="P1070" t="s">
        <v>424</v>
      </c>
      <c r="Q1070">
        <v>2022</v>
      </c>
    </row>
    <row r="1071" spans="16:17">
      <c r="P1071" t="s">
        <v>2310</v>
      </c>
      <c r="Q1071">
        <v>2022</v>
      </c>
    </row>
    <row r="1072" spans="16:17">
      <c r="P1072" t="s">
        <v>979</v>
      </c>
      <c r="Q1072">
        <v>2022</v>
      </c>
    </row>
    <row r="1073" spans="16:17">
      <c r="P1073" t="s">
        <v>1099</v>
      </c>
      <c r="Q1073">
        <v>2022</v>
      </c>
    </row>
    <row r="1074" spans="16:17">
      <c r="P1074" t="s">
        <v>1037</v>
      </c>
      <c r="Q1074">
        <v>2022</v>
      </c>
    </row>
    <row r="1075" spans="16:17">
      <c r="P1075" t="s">
        <v>2315</v>
      </c>
      <c r="Q1075">
        <v>2022</v>
      </c>
    </row>
    <row r="1076" spans="16:17">
      <c r="P1076" t="s">
        <v>782</v>
      </c>
      <c r="Q1076">
        <v>2022</v>
      </c>
    </row>
    <row r="1077" spans="16:17">
      <c r="P1077" t="s">
        <v>1689</v>
      </c>
      <c r="Q1077">
        <v>2022</v>
      </c>
    </row>
    <row r="1078" spans="16:17">
      <c r="P1078" t="s">
        <v>2320</v>
      </c>
      <c r="Q1078">
        <v>2022</v>
      </c>
    </row>
    <row r="1079" spans="16:17">
      <c r="P1079" t="s">
        <v>2321</v>
      </c>
      <c r="Q1079">
        <v>2022</v>
      </c>
    </row>
    <row r="1080" spans="16:17">
      <c r="P1080" t="s">
        <v>429</v>
      </c>
      <c r="Q1080">
        <v>2022</v>
      </c>
    </row>
    <row r="1081" spans="16:17">
      <c r="P1081" t="s">
        <v>321</v>
      </c>
      <c r="Q1081">
        <v>2022</v>
      </c>
    </row>
    <row r="1082" spans="16:17">
      <c r="P1082" t="s">
        <v>2325</v>
      </c>
      <c r="Q1082">
        <v>2022</v>
      </c>
    </row>
    <row r="1083" spans="16:17">
      <c r="P1083" t="s">
        <v>1819</v>
      </c>
      <c r="Q1083">
        <v>2022</v>
      </c>
    </row>
    <row r="1084" spans="16:17">
      <c r="P1084" t="s">
        <v>889</v>
      </c>
      <c r="Q1084">
        <v>2022</v>
      </c>
    </row>
    <row r="1085" spans="16:17">
      <c r="P1085" t="s">
        <v>2328</v>
      </c>
      <c r="Q1085">
        <v>2022</v>
      </c>
    </row>
    <row r="1086" spans="16:17">
      <c r="P1086" t="s">
        <v>195</v>
      </c>
      <c r="Q1086">
        <v>2022</v>
      </c>
    </row>
    <row r="1087" spans="16:17">
      <c r="P1087" t="s">
        <v>826</v>
      </c>
      <c r="Q1087">
        <v>2022</v>
      </c>
    </row>
    <row r="1088" spans="16:17">
      <c r="P1088" t="s">
        <v>1396</v>
      </c>
      <c r="Q1088">
        <v>2022</v>
      </c>
    </row>
    <row r="1089" spans="16:17">
      <c r="P1089" t="s">
        <v>1363</v>
      </c>
      <c r="Q1089">
        <v>2022</v>
      </c>
    </row>
    <row r="1090" spans="16:17">
      <c r="P1090" t="s">
        <v>726</v>
      </c>
      <c r="Q1090">
        <v>2022</v>
      </c>
    </row>
    <row r="1091" spans="16:17">
      <c r="P1091" t="s">
        <v>1725</v>
      </c>
      <c r="Q1091">
        <v>2022</v>
      </c>
    </row>
    <row r="1092" spans="16:17">
      <c r="P1092" t="s">
        <v>254</v>
      </c>
      <c r="Q1092">
        <v>2022</v>
      </c>
    </row>
    <row r="1093" spans="16:17">
      <c r="P1093" t="s">
        <v>1640</v>
      </c>
      <c r="Q1093">
        <v>2022</v>
      </c>
    </row>
    <row r="1094" spans="16:17">
      <c r="P1094" t="s">
        <v>953</v>
      </c>
      <c r="Q1094">
        <v>2022</v>
      </c>
    </row>
    <row r="1095" spans="16:17">
      <c r="P1095" t="s">
        <v>736</v>
      </c>
      <c r="Q1095">
        <v>2022</v>
      </c>
    </row>
    <row r="1096" spans="16:17">
      <c r="P1096" t="s">
        <v>1507</v>
      </c>
      <c r="Q1096">
        <v>2022</v>
      </c>
    </row>
    <row r="1097" spans="16:17">
      <c r="P1097" t="s">
        <v>1076</v>
      </c>
      <c r="Q1097">
        <v>2022</v>
      </c>
    </row>
    <row r="1098" spans="16:17">
      <c r="P1098" t="s">
        <v>293</v>
      </c>
      <c r="Q1098">
        <v>2022</v>
      </c>
    </row>
    <row r="1099" spans="16:17">
      <c r="P1099" t="s">
        <v>729</v>
      </c>
      <c r="Q1099">
        <v>2022</v>
      </c>
    </row>
    <row r="1100" spans="16:17">
      <c r="P1100" t="s">
        <v>403</v>
      </c>
      <c r="Q1100">
        <v>2022</v>
      </c>
    </row>
    <row r="1101" spans="16:17">
      <c r="P1101" t="s">
        <v>348</v>
      </c>
      <c r="Q1101">
        <v>2022</v>
      </c>
    </row>
    <row r="1102" spans="16:17">
      <c r="P1102" t="s">
        <v>464</v>
      </c>
      <c r="Q1102">
        <v>2022</v>
      </c>
    </row>
    <row r="1103" spans="16:17">
      <c r="P1103" t="s">
        <v>2345</v>
      </c>
      <c r="Q1103">
        <v>2022</v>
      </c>
    </row>
    <row r="1104" spans="16:17">
      <c r="P1104" t="s">
        <v>868</v>
      </c>
      <c r="Q1104">
        <v>2022</v>
      </c>
    </row>
    <row r="1105" spans="16:17">
      <c r="P1105" t="s">
        <v>863</v>
      </c>
      <c r="Q1105">
        <v>2022</v>
      </c>
    </row>
    <row r="1106" spans="16:17">
      <c r="P1106" t="s">
        <v>575</v>
      </c>
      <c r="Q1106">
        <v>2022</v>
      </c>
    </row>
    <row r="1107" spans="16:17">
      <c r="P1107" t="s">
        <v>1209</v>
      </c>
      <c r="Q1107">
        <v>2022</v>
      </c>
    </row>
    <row r="1108" spans="16:17">
      <c r="P1108" t="s">
        <v>886</v>
      </c>
      <c r="Q1108">
        <v>2022</v>
      </c>
    </row>
    <row r="1109" spans="16:17">
      <c r="P1109" t="s">
        <v>2348</v>
      </c>
      <c r="Q1109">
        <v>2022</v>
      </c>
    </row>
    <row r="1110" spans="16:17">
      <c r="P1110" t="s">
        <v>2349</v>
      </c>
      <c r="Q1110">
        <v>2022</v>
      </c>
    </row>
    <row r="1111" spans="16:17">
      <c r="P1111" t="s">
        <v>870</v>
      </c>
      <c r="Q1111">
        <v>2022</v>
      </c>
    </row>
    <row r="1112" spans="16:17">
      <c r="P1112" t="s">
        <v>742</v>
      </c>
      <c r="Q1112">
        <v>2022</v>
      </c>
    </row>
    <row r="1113" spans="16:17">
      <c r="P1113" t="s">
        <v>248</v>
      </c>
      <c r="Q1113">
        <v>2022</v>
      </c>
    </row>
    <row r="1114" spans="16:17">
      <c r="P1114" t="s">
        <v>1198</v>
      </c>
      <c r="Q1114">
        <v>2022</v>
      </c>
    </row>
    <row r="1115" spans="16:17">
      <c r="P1115" t="s">
        <v>472</v>
      </c>
      <c r="Q1115">
        <v>2022</v>
      </c>
    </row>
    <row r="1116" spans="16:17">
      <c r="P1116" t="s">
        <v>1800</v>
      </c>
      <c r="Q1116">
        <v>2022</v>
      </c>
    </row>
    <row r="1117" spans="16:17">
      <c r="P1117" t="s">
        <v>380</v>
      </c>
      <c r="Q1117">
        <v>2022</v>
      </c>
    </row>
    <row r="1118" spans="16:17">
      <c r="P1118" t="s">
        <v>1848</v>
      </c>
      <c r="Q1118">
        <v>2022</v>
      </c>
    </row>
    <row r="1119" spans="16:17">
      <c r="P1119" t="s">
        <v>630</v>
      </c>
      <c r="Q1119">
        <v>2022</v>
      </c>
    </row>
    <row r="1120" spans="16:17">
      <c r="P1120" t="s">
        <v>1090</v>
      </c>
      <c r="Q1120">
        <v>2022</v>
      </c>
    </row>
    <row r="1121" spans="16:17">
      <c r="P1121" t="s">
        <v>2367</v>
      </c>
      <c r="Q1121">
        <v>2022</v>
      </c>
    </row>
    <row r="1122" spans="16:17">
      <c r="P1122" t="s">
        <v>750</v>
      </c>
      <c r="Q1122">
        <v>2022</v>
      </c>
    </row>
    <row r="1123" spans="16:17">
      <c r="P1123" t="s">
        <v>1340</v>
      </c>
      <c r="Q1123">
        <v>2022</v>
      </c>
    </row>
    <row r="1124" spans="16:17">
      <c r="P1124" t="s">
        <v>343</v>
      </c>
      <c r="Q1124">
        <v>2022</v>
      </c>
    </row>
    <row r="1125" spans="16:17">
      <c r="P1125" t="s">
        <v>657</v>
      </c>
      <c r="Q1125">
        <v>2022</v>
      </c>
    </row>
    <row r="1126" spans="16:17">
      <c r="P1126" t="s">
        <v>716</v>
      </c>
      <c r="Q1126">
        <v>2022</v>
      </c>
    </row>
    <row r="1127" spans="16:17">
      <c r="P1127" t="s">
        <v>1081</v>
      </c>
      <c r="Q1127">
        <v>2022</v>
      </c>
    </row>
    <row r="1128" spans="16:17">
      <c r="P1128" t="s">
        <v>1265</v>
      </c>
      <c r="Q1128">
        <v>2022</v>
      </c>
    </row>
    <row r="1129" spans="16:17">
      <c r="P1129" t="s">
        <v>1724</v>
      </c>
      <c r="Q1129">
        <v>2022</v>
      </c>
    </row>
    <row r="1130" spans="16:17">
      <c r="P1130" t="s">
        <v>1348</v>
      </c>
      <c r="Q1130">
        <v>2022</v>
      </c>
    </row>
    <row r="1131" spans="16:17">
      <c r="P1131" t="s">
        <v>2380</v>
      </c>
      <c r="Q1131">
        <v>2022</v>
      </c>
    </row>
    <row r="1132" spans="16:17">
      <c r="P1132" t="s">
        <v>994</v>
      </c>
      <c r="Q1132">
        <v>2022</v>
      </c>
    </row>
    <row r="1133" spans="16:17">
      <c r="P1133" t="s">
        <v>1597</v>
      </c>
      <c r="Q1133">
        <v>2022</v>
      </c>
    </row>
    <row r="1134" spans="16:17">
      <c r="P1134" t="s">
        <v>2382</v>
      </c>
      <c r="Q1134">
        <v>2022</v>
      </c>
    </row>
    <row r="1135" spans="16:17">
      <c r="P1135" t="s">
        <v>2383</v>
      </c>
      <c r="Q1135">
        <v>2022</v>
      </c>
    </row>
    <row r="1136" spans="16:17">
      <c r="P1136" t="s">
        <v>1438</v>
      </c>
      <c r="Q1136">
        <v>2022</v>
      </c>
    </row>
    <row r="1137" spans="16:17">
      <c r="P1137" t="s">
        <v>1262</v>
      </c>
      <c r="Q1137">
        <v>2022</v>
      </c>
    </row>
    <row r="1138" spans="16:17">
      <c r="P1138" t="s">
        <v>828</v>
      </c>
      <c r="Q1138">
        <v>2022</v>
      </c>
    </row>
    <row r="1139" spans="16:17">
      <c r="P1139" t="s">
        <v>1223</v>
      </c>
      <c r="Q1139">
        <v>2022</v>
      </c>
    </row>
    <row r="1140" spans="16:17">
      <c r="P1140" t="s">
        <v>130</v>
      </c>
      <c r="Q1140">
        <v>2022</v>
      </c>
    </row>
    <row r="1141" spans="16:17">
      <c r="P1141" t="s">
        <v>2385</v>
      </c>
      <c r="Q1141">
        <v>2022</v>
      </c>
    </row>
    <row r="1142" spans="16:17">
      <c r="P1142" t="s">
        <v>2387</v>
      </c>
      <c r="Q1142">
        <v>2022</v>
      </c>
    </row>
    <row r="1143" spans="16:17">
      <c r="P1143" t="s">
        <v>1868</v>
      </c>
      <c r="Q1143">
        <v>2022</v>
      </c>
    </row>
    <row r="1144" spans="16:17">
      <c r="P1144" t="s">
        <v>1824</v>
      </c>
      <c r="Q1144">
        <v>2022</v>
      </c>
    </row>
    <row r="1145" spans="16:17">
      <c r="P1145" t="s">
        <v>2390</v>
      </c>
      <c r="Q1145">
        <v>2022</v>
      </c>
    </row>
    <row r="1146" spans="16:17">
      <c r="P1146" t="s">
        <v>1754</v>
      </c>
      <c r="Q1146">
        <v>2022</v>
      </c>
    </row>
    <row r="1147" spans="16:17">
      <c r="P1147" t="s">
        <v>111</v>
      </c>
      <c r="Q1147">
        <v>2022</v>
      </c>
    </row>
    <row r="1148" spans="16:17">
      <c r="P1148" t="s">
        <v>389</v>
      </c>
      <c r="Q1148">
        <v>2022</v>
      </c>
    </row>
    <row r="1149" spans="16:17">
      <c r="P1149" t="s">
        <v>1600</v>
      </c>
      <c r="Q1149">
        <v>2022</v>
      </c>
    </row>
    <row r="1150" spans="16:17">
      <c r="P1150" t="s">
        <v>2398</v>
      </c>
      <c r="Q1150">
        <v>2022</v>
      </c>
    </row>
    <row r="1151" spans="16:17">
      <c r="P1151" t="s">
        <v>1616</v>
      </c>
      <c r="Q1151">
        <v>2022</v>
      </c>
    </row>
    <row r="1152" spans="16:17">
      <c r="P1152" t="s">
        <v>184</v>
      </c>
      <c r="Q1152">
        <v>2022</v>
      </c>
    </row>
    <row r="1153" spans="16:17">
      <c r="P1153" t="s">
        <v>539</v>
      </c>
      <c r="Q1153">
        <v>2022</v>
      </c>
    </row>
    <row r="1154" spans="16:17">
      <c r="P1154" t="s">
        <v>1659</v>
      </c>
      <c r="Q1154">
        <v>2022</v>
      </c>
    </row>
    <row r="1155" spans="16:17">
      <c r="P1155" t="s">
        <v>1153</v>
      </c>
      <c r="Q1155">
        <v>2022</v>
      </c>
    </row>
    <row r="1156" spans="16:17">
      <c r="P1156" t="s">
        <v>2407</v>
      </c>
      <c r="Q1156">
        <v>2022</v>
      </c>
    </row>
    <row r="1157" spans="16:17">
      <c r="P1157" t="s">
        <v>2408</v>
      </c>
      <c r="Q1157">
        <v>2022</v>
      </c>
    </row>
    <row r="1158" spans="16:17">
      <c r="P1158" t="s">
        <v>505</v>
      </c>
      <c r="Q1158">
        <v>2022</v>
      </c>
    </row>
    <row r="1159" spans="16:17">
      <c r="P1159" t="s">
        <v>2409</v>
      </c>
      <c r="Q1159">
        <v>2022</v>
      </c>
    </row>
    <row r="1160" spans="16:17">
      <c r="P1160" t="s">
        <v>1477</v>
      </c>
      <c r="Q1160">
        <v>2022</v>
      </c>
    </row>
    <row r="1161" spans="16:17">
      <c r="P1161" t="s">
        <v>985</v>
      </c>
      <c r="Q1161">
        <v>2022</v>
      </c>
    </row>
    <row r="1162" spans="16:17">
      <c r="P1162" t="s">
        <v>1633</v>
      </c>
      <c r="Q1162">
        <v>2022</v>
      </c>
    </row>
    <row r="1163" spans="16:17">
      <c r="P1163" t="s">
        <v>2413</v>
      </c>
      <c r="Q1163">
        <v>2022</v>
      </c>
    </row>
    <row r="1164" spans="16:17">
      <c r="P1164" t="s">
        <v>1256</v>
      </c>
      <c r="Q1164">
        <v>2022</v>
      </c>
    </row>
    <row r="1165" spans="16:17">
      <c r="P1165" t="s">
        <v>2414</v>
      </c>
      <c r="Q1165">
        <v>2022</v>
      </c>
    </row>
    <row r="1166" spans="16:17">
      <c r="P1166" t="s">
        <v>1140</v>
      </c>
      <c r="Q1166">
        <v>2022</v>
      </c>
    </row>
    <row r="1167" spans="16:17">
      <c r="P1167" t="s">
        <v>1433</v>
      </c>
      <c r="Q1167">
        <v>2022</v>
      </c>
    </row>
    <row r="1168" spans="16:17">
      <c r="P1168" t="s">
        <v>1573</v>
      </c>
      <c r="Q1168">
        <v>2022</v>
      </c>
    </row>
    <row r="1169" spans="16:17">
      <c r="P1169" t="s">
        <v>2418</v>
      </c>
      <c r="Q1169">
        <v>2022</v>
      </c>
    </row>
    <row r="1170" spans="16:17">
      <c r="P1170" t="s">
        <v>560</v>
      </c>
      <c r="Q1170">
        <v>2022</v>
      </c>
    </row>
    <row r="1171" spans="16:17">
      <c r="P1171" t="s">
        <v>1612</v>
      </c>
      <c r="Q1171">
        <v>2022</v>
      </c>
    </row>
    <row r="1172" spans="16:17">
      <c r="P1172" t="s">
        <v>258</v>
      </c>
      <c r="Q1172">
        <v>2022</v>
      </c>
    </row>
    <row r="1173" spans="16:17">
      <c r="P1173" t="s">
        <v>2246</v>
      </c>
      <c r="Q1173">
        <v>2023</v>
      </c>
    </row>
    <row r="1174" spans="16:17">
      <c r="P1174" t="s">
        <v>1081</v>
      </c>
      <c r="Q1174">
        <v>2023</v>
      </c>
    </row>
    <row r="1175" spans="16:17">
      <c r="P1175" t="s">
        <v>969</v>
      </c>
      <c r="Q1175">
        <v>2023</v>
      </c>
    </row>
    <row r="1176" spans="16:17">
      <c r="P1176" t="s">
        <v>2425</v>
      </c>
      <c r="Q1176">
        <v>2023</v>
      </c>
    </row>
    <row r="1177" spans="16:17">
      <c r="P1177" t="s">
        <v>2426</v>
      </c>
      <c r="Q1177">
        <v>2023</v>
      </c>
    </row>
    <row r="1178" spans="16:17">
      <c r="P1178" t="s">
        <v>1976</v>
      </c>
      <c r="Q1178">
        <v>2023</v>
      </c>
    </row>
    <row r="1179" spans="16:17">
      <c r="P1179" t="s">
        <v>671</v>
      </c>
      <c r="Q1179">
        <v>2023</v>
      </c>
    </row>
    <row r="1180" spans="16:17">
      <c r="P1180" t="s">
        <v>754</v>
      </c>
      <c r="Q1180">
        <v>2023</v>
      </c>
    </row>
    <row r="1181" spans="16:17">
      <c r="P1181" t="s">
        <v>2232</v>
      </c>
      <c r="Q1181">
        <v>2023</v>
      </c>
    </row>
    <row r="1182" spans="16:17">
      <c r="P1182" t="s">
        <v>31</v>
      </c>
      <c r="Q1182">
        <v>2023</v>
      </c>
    </row>
    <row r="1183" spans="16:17">
      <c r="P1183" t="s">
        <v>48</v>
      </c>
      <c r="Q1183">
        <v>2023</v>
      </c>
    </row>
    <row r="1184" spans="16:17">
      <c r="P1184" t="s">
        <v>595</v>
      </c>
      <c r="Q1184">
        <v>2023</v>
      </c>
    </row>
    <row r="1185" spans="16:17">
      <c r="P1185" t="s">
        <v>1869</v>
      </c>
      <c r="Q1185">
        <v>2023</v>
      </c>
    </row>
    <row r="1186" spans="16:17">
      <c r="P1186" t="s">
        <v>454</v>
      </c>
      <c r="Q1186">
        <v>2023</v>
      </c>
    </row>
    <row r="1187" spans="16:17">
      <c r="P1187" t="s">
        <v>2431</v>
      </c>
      <c r="Q1187">
        <v>2023</v>
      </c>
    </row>
    <row r="1188" spans="16:17">
      <c r="P1188" t="s">
        <v>1145</v>
      </c>
      <c r="Q1188">
        <v>2023</v>
      </c>
    </row>
    <row r="1189" spans="16:17">
      <c r="P1189" t="s">
        <v>415</v>
      </c>
      <c r="Q1189">
        <v>2023</v>
      </c>
    </row>
    <row r="1190" spans="16:17">
      <c r="P1190" t="s">
        <v>2067</v>
      </c>
      <c r="Q1190">
        <v>2023</v>
      </c>
    </row>
    <row r="1191" spans="16:17">
      <c r="P1191" t="s">
        <v>726</v>
      </c>
      <c r="Q1191">
        <v>2023</v>
      </c>
    </row>
    <row r="1192" spans="16:17">
      <c r="P1192" t="s">
        <v>1749</v>
      </c>
      <c r="Q1192">
        <v>2023</v>
      </c>
    </row>
    <row r="1193" spans="16:17">
      <c r="P1193" t="s">
        <v>1565</v>
      </c>
      <c r="Q1193">
        <v>2023</v>
      </c>
    </row>
    <row r="1194" spans="16:17">
      <c r="P1194" t="s">
        <v>2434</v>
      </c>
      <c r="Q1194">
        <v>2023</v>
      </c>
    </row>
    <row r="1195" spans="16:17">
      <c r="P1195" t="s">
        <v>902</v>
      </c>
      <c r="Q1195">
        <v>2023</v>
      </c>
    </row>
    <row r="1196" spans="16:17">
      <c r="P1196" t="s">
        <v>2227</v>
      </c>
      <c r="Q1196">
        <v>2023</v>
      </c>
    </row>
    <row r="1197" spans="16:17">
      <c r="P1197" t="s">
        <v>2414</v>
      </c>
      <c r="Q1197">
        <v>2023</v>
      </c>
    </row>
    <row r="1198" spans="16:17">
      <c r="P1198" t="s">
        <v>685</v>
      </c>
      <c r="Q1198">
        <v>2023</v>
      </c>
    </row>
    <row r="1199" spans="16:17">
      <c r="P1199" t="s">
        <v>653</v>
      </c>
      <c r="Q1199">
        <v>2023</v>
      </c>
    </row>
    <row r="1200" spans="16:17">
      <c r="P1200" t="s">
        <v>2264</v>
      </c>
      <c r="Q1200">
        <v>2023</v>
      </c>
    </row>
    <row r="1201" spans="16:17">
      <c r="P1201" t="s">
        <v>1253</v>
      </c>
      <c r="Q1201">
        <v>2023</v>
      </c>
    </row>
    <row r="1202" spans="16:17">
      <c r="P1202" t="s">
        <v>1760</v>
      </c>
      <c r="Q1202">
        <v>2023</v>
      </c>
    </row>
    <row r="1203" spans="16:17">
      <c r="P1203" t="s">
        <v>697</v>
      </c>
      <c r="Q1203">
        <v>2023</v>
      </c>
    </row>
    <row r="1204" spans="16:17">
      <c r="P1204" t="s">
        <v>855</v>
      </c>
      <c r="Q1204">
        <v>2023</v>
      </c>
    </row>
    <row r="1205" spans="16:17">
      <c r="P1205" t="s">
        <v>2320</v>
      </c>
      <c r="Q1205">
        <v>2023</v>
      </c>
    </row>
    <row r="1206" spans="16:17">
      <c r="P1206" t="s">
        <v>1885</v>
      </c>
      <c r="Q1206">
        <v>2023</v>
      </c>
    </row>
    <row r="1207" spans="16:17">
      <c r="P1207" t="s">
        <v>1345</v>
      </c>
      <c r="Q1207">
        <v>2023</v>
      </c>
    </row>
    <row r="1208" spans="16:17">
      <c r="P1208" t="s">
        <v>2437</v>
      </c>
      <c r="Q1208">
        <v>2023</v>
      </c>
    </row>
    <row r="1209" spans="16:17">
      <c r="P1209" t="s">
        <v>389</v>
      </c>
      <c r="Q1209">
        <v>2023</v>
      </c>
    </row>
    <row r="1210" spans="16:17">
      <c r="P1210" t="s">
        <v>1489</v>
      </c>
      <c r="Q1210">
        <v>2023</v>
      </c>
    </row>
    <row r="1211" spans="16:17">
      <c r="P1211" t="s">
        <v>770</v>
      </c>
      <c r="Q1211">
        <v>2023</v>
      </c>
    </row>
    <row r="1212" spans="16:17">
      <c r="P1212" t="s">
        <v>1764</v>
      </c>
      <c r="Q1212">
        <v>2023</v>
      </c>
    </row>
    <row r="1213" spans="16:17">
      <c r="P1213" t="s">
        <v>2441</v>
      </c>
      <c r="Q1213">
        <v>2023</v>
      </c>
    </row>
    <row r="1214" spans="16:17">
      <c r="P1214" t="s">
        <v>1433</v>
      </c>
      <c r="Q1214">
        <v>2023</v>
      </c>
    </row>
    <row r="1215" spans="16:17">
      <c r="P1215" t="s">
        <v>345</v>
      </c>
      <c r="Q1215">
        <v>2023</v>
      </c>
    </row>
    <row r="1216" spans="16:17">
      <c r="P1216" t="s">
        <v>261</v>
      </c>
      <c r="Q1216">
        <v>2023</v>
      </c>
    </row>
    <row r="1217" spans="16:17">
      <c r="P1217" t="s">
        <v>1673</v>
      </c>
      <c r="Q1217">
        <v>2023</v>
      </c>
    </row>
    <row r="1218" spans="16:17">
      <c r="P1218" t="s">
        <v>532</v>
      </c>
      <c r="Q1218">
        <v>2023</v>
      </c>
    </row>
    <row r="1219" spans="16:17">
      <c r="P1219" t="s">
        <v>178</v>
      </c>
      <c r="Q1219">
        <v>2023</v>
      </c>
    </row>
    <row r="1220" spans="16:17">
      <c r="P1220" t="s">
        <v>1403</v>
      </c>
      <c r="Q1220">
        <v>2023</v>
      </c>
    </row>
    <row r="1221" spans="16:17">
      <c r="P1221" t="s">
        <v>1819</v>
      </c>
      <c r="Q1221">
        <v>2023</v>
      </c>
    </row>
    <row r="1222" spans="16:17">
      <c r="P1222" t="s">
        <v>511</v>
      </c>
      <c r="Q1222">
        <v>2023</v>
      </c>
    </row>
    <row r="1223" spans="16:17">
      <c r="P1223" t="s">
        <v>875</v>
      </c>
      <c r="Q1223">
        <v>2023</v>
      </c>
    </row>
    <row r="1224" spans="16:17">
      <c r="P1224" t="s">
        <v>156</v>
      </c>
      <c r="Q1224">
        <v>2023</v>
      </c>
    </row>
    <row r="1225" spans="16:17">
      <c r="P1225" t="s">
        <v>1479</v>
      </c>
      <c r="Q1225">
        <v>2023</v>
      </c>
    </row>
    <row r="1226" spans="16:17">
      <c r="P1226" t="s">
        <v>1260</v>
      </c>
      <c r="Q1226">
        <v>2023</v>
      </c>
    </row>
    <row r="1227" spans="16:17">
      <c r="P1227" t="s">
        <v>1297</v>
      </c>
      <c r="Q1227">
        <v>2023</v>
      </c>
    </row>
    <row r="1228" spans="16:17">
      <c r="P1228" t="s">
        <v>1183</v>
      </c>
      <c r="Q1228">
        <v>2023</v>
      </c>
    </row>
    <row r="1229" spans="16:17">
      <c r="P1229" t="s">
        <v>327</v>
      </c>
      <c r="Q1229">
        <v>2023</v>
      </c>
    </row>
    <row r="1230" spans="16:17">
      <c r="P1230" t="s">
        <v>429</v>
      </c>
      <c r="Q1230">
        <v>2023</v>
      </c>
    </row>
    <row r="1231" spans="16:17">
      <c r="P1231" t="s">
        <v>385</v>
      </c>
      <c r="Q1231">
        <v>2023</v>
      </c>
    </row>
    <row r="1232" spans="16:17">
      <c r="P1232" t="s">
        <v>2446</v>
      </c>
      <c r="Q1232">
        <v>2023</v>
      </c>
    </row>
    <row r="1233" spans="16:17">
      <c r="P1233" t="s">
        <v>2133</v>
      </c>
      <c r="Q1233">
        <v>2023</v>
      </c>
    </row>
    <row r="1234" spans="16:17">
      <c r="P1234" t="s">
        <v>172</v>
      </c>
      <c r="Q1234">
        <v>2023</v>
      </c>
    </row>
    <row r="1235" spans="16:17">
      <c r="P1235" t="s">
        <v>2254</v>
      </c>
      <c r="Q1235">
        <v>2023</v>
      </c>
    </row>
    <row r="1236" spans="16:17">
      <c r="P1236" t="s">
        <v>1684</v>
      </c>
      <c r="Q1236">
        <v>2023</v>
      </c>
    </row>
    <row r="1237" spans="16:17">
      <c r="P1237" t="s">
        <v>505</v>
      </c>
      <c r="Q1237">
        <v>2023</v>
      </c>
    </row>
    <row r="1238" spans="16:17">
      <c r="P1238" t="s">
        <v>1515</v>
      </c>
      <c r="Q1238">
        <v>2023</v>
      </c>
    </row>
    <row r="1239" spans="16:17">
      <c r="P1239" t="s">
        <v>1935</v>
      </c>
      <c r="Q1239">
        <v>2023</v>
      </c>
    </row>
    <row r="1240" spans="16:17">
      <c r="P1240" t="s">
        <v>2158</v>
      </c>
      <c r="Q1240">
        <v>2023</v>
      </c>
    </row>
    <row r="1241" spans="16:17">
      <c r="P1241" t="s">
        <v>637</v>
      </c>
      <c r="Q1241">
        <v>2023</v>
      </c>
    </row>
    <row r="1242" spans="16:17">
      <c r="P1242" t="s">
        <v>1289</v>
      </c>
      <c r="Q1242">
        <v>2023</v>
      </c>
    </row>
    <row r="1243" spans="16:17">
      <c r="P1243" t="s">
        <v>1996</v>
      </c>
      <c r="Q1243">
        <v>2023</v>
      </c>
    </row>
    <row r="1244" spans="16:17">
      <c r="P1244" t="s">
        <v>239</v>
      </c>
      <c r="Q1244">
        <v>2023</v>
      </c>
    </row>
    <row r="1245" spans="16:17">
      <c r="P1245" t="s">
        <v>1450</v>
      </c>
      <c r="Q1245">
        <v>2023</v>
      </c>
    </row>
    <row r="1246" spans="16:17">
      <c r="P1246" t="s">
        <v>711</v>
      </c>
      <c r="Q1246">
        <v>2023</v>
      </c>
    </row>
    <row r="1247" spans="16:17">
      <c r="P1247" t="s">
        <v>1725</v>
      </c>
      <c r="Q1247">
        <v>2023</v>
      </c>
    </row>
    <row r="1248" spans="16:17">
      <c r="P1248" t="s">
        <v>1722</v>
      </c>
      <c r="Q1248">
        <v>2023</v>
      </c>
    </row>
    <row r="1249" spans="16:17">
      <c r="P1249" t="s">
        <v>1979</v>
      </c>
      <c r="Q1249">
        <v>2023</v>
      </c>
    </row>
    <row r="1250" spans="16:17">
      <c r="P1250" t="s">
        <v>1924</v>
      </c>
      <c r="Q1250">
        <v>2023</v>
      </c>
    </row>
    <row r="1251" spans="16:17">
      <c r="P1251" t="s">
        <v>949</v>
      </c>
      <c r="Q1251">
        <v>2023</v>
      </c>
    </row>
    <row r="1252" spans="16:17">
      <c r="P1252" t="s">
        <v>1597</v>
      </c>
      <c r="Q1252">
        <v>2023</v>
      </c>
    </row>
    <row r="1253" spans="16:17">
      <c r="P1253" t="s">
        <v>942</v>
      </c>
      <c r="Q1253">
        <v>2023</v>
      </c>
    </row>
    <row r="1254" spans="16:17">
      <c r="P1254" t="s">
        <v>2140</v>
      </c>
      <c r="Q1254">
        <v>2023</v>
      </c>
    </row>
    <row r="1255" spans="16:17">
      <c r="P1255" t="s">
        <v>886</v>
      </c>
      <c r="Q1255">
        <v>2023</v>
      </c>
    </row>
    <row r="1256" spans="16:17">
      <c r="P1256" t="s">
        <v>163</v>
      </c>
      <c r="Q1256">
        <v>2023</v>
      </c>
    </row>
    <row r="1257" spans="16:17">
      <c r="P1257" t="s">
        <v>2449</v>
      </c>
      <c r="Q1257">
        <v>2023</v>
      </c>
    </row>
    <row r="1258" spans="16:17">
      <c r="P1258" t="s">
        <v>1262</v>
      </c>
      <c r="Q1258">
        <v>2023</v>
      </c>
    </row>
    <row r="1259" spans="16:17">
      <c r="P1259" t="s">
        <v>1600</v>
      </c>
      <c r="Q1259">
        <v>2023</v>
      </c>
    </row>
    <row r="1260" spans="16:17">
      <c r="P1260" t="s">
        <v>1291</v>
      </c>
      <c r="Q1260">
        <v>2023</v>
      </c>
    </row>
    <row r="1261" spans="16:17">
      <c r="P1261" t="s">
        <v>798</v>
      </c>
      <c r="Q1261">
        <v>2023</v>
      </c>
    </row>
    <row r="1262" spans="16:17">
      <c r="P1262" t="s">
        <v>2452</v>
      </c>
      <c r="Q1262">
        <v>2023</v>
      </c>
    </row>
    <row r="1263" spans="16:17">
      <c r="P1263" t="s">
        <v>1833</v>
      </c>
      <c r="Q1263">
        <v>2023</v>
      </c>
    </row>
    <row r="1264" spans="16:17">
      <c r="P1264" t="s">
        <v>1273</v>
      </c>
      <c r="Q1264">
        <v>2023</v>
      </c>
    </row>
    <row r="1265" spans="16:17">
      <c r="P1265" t="s">
        <v>562</v>
      </c>
      <c r="Q1265">
        <v>2023</v>
      </c>
    </row>
    <row r="1266" spans="16:17">
      <c r="P1266" t="s">
        <v>421</v>
      </c>
      <c r="Q1266">
        <v>2023</v>
      </c>
    </row>
    <row r="1267" spans="16:17">
      <c r="P1267" t="s">
        <v>1865</v>
      </c>
      <c r="Q1267">
        <v>2023</v>
      </c>
    </row>
    <row r="1268" spans="16:17">
      <c r="P1268" t="s">
        <v>686</v>
      </c>
      <c r="Q1268">
        <v>2023</v>
      </c>
    </row>
    <row r="1269" spans="16:17">
      <c r="P1269" t="s">
        <v>796</v>
      </c>
      <c r="Q1269">
        <v>2023</v>
      </c>
    </row>
    <row r="1270" spans="16:17">
      <c r="P1270" t="s">
        <v>2106</v>
      </c>
      <c r="Q1270">
        <v>2023</v>
      </c>
    </row>
    <row r="1271" spans="16:17">
      <c r="P1271" t="s">
        <v>885</v>
      </c>
      <c r="Q1271">
        <v>2023</v>
      </c>
    </row>
    <row r="1272" spans="16:17">
      <c r="P1272" t="s">
        <v>2059</v>
      </c>
      <c r="Q1272">
        <v>2023</v>
      </c>
    </row>
    <row r="1273" spans="16:17">
      <c r="P1273" t="s">
        <v>2062</v>
      </c>
      <c r="Q1273">
        <v>2023</v>
      </c>
    </row>
    <row r="1274" spans="16:17">
      <c r="P1274" t="s">
        <v>924</v>
      </c>
      <c r="Q1274">
        <v>2023</v>
      </c>
    </row>
    <row r="1275" spans="16:17">
      <c r="P1275" t="s">
        <v>1461</v>
      </c>
      <c r="Q1275">
        <v>2023</v>
      </c>
    </row>
    <row r="1276" spans="16:17">
      <c r="P1276" t="s">
        <v>897</v>
      </c>
      <c r="Q1276">
        <v>2023</v>
      </c>
    </row>
    <row r="1277" spans="16:17">
      <c r="P1277" t="s">
        <v>2113</v>
      </c>
      <c r="Q1277">
        <v>2023</v>
      </c>
    </row>
    <row r="1278" spans="16:17">
      <c r="P1278" t="s">
        <v>2261</v>
      </c>
      <c r="Q1278">
        <v>2023</v>
      </c>
    </row>
    <row r="1279" spans="16:17">
      <c r="P1279" t="s">
        <v>538</v>
      </c>
      <c r="Q1279">
        <v>2023</v>
      </c>
    </row>
    <row r="1280" spans="16:17">
      <c r="P1280" t="s">
        <v>303</v>
      </c>
      <c r="Q1280">
        <v>2023</v>
      </c>
    </row>
    <row r="1281" spans="16:17">
      <c r="P1281" t="s">
        <v>822</v>
      </c>
      <c r="Q1281">
        <v>2023</v>
      </c>
    </row>
    <row r="1282" spans="16:17">
      <c r="P1282" t="s">
        <v>2457</v>
      </c>
      <c r="Q1282">
        <v>2023</v>
      </c>
    </row>
    <row r="1283" spans="16:17">
      <c r="P1283" t="s">
        <v>2458</v>
      </c>
      <c r="Q1283">
        <v>2023</v>
      </c>
    </row>
    <row r="1284" spans="16:17">
      <c r="P1284" t="s">
        <v>1387</v>
      </c>
      <c r="Q1284">
        <v>2023</v>
      </c>
    </row>
    <row r="1285" spans="16:17">
      <c r="P1285" t="s">
        <v>1631</v>
      </c>
      <c r="Q1285">
        <v>2023</v>
      </c>
    </row>
    <row r="1286" spans="16:17">
      <c r="P1286" t="s">
        <v>729</v>
      </c>
      <c r="Q1286">
        <v>2023</v>
      </c>
    </row>
    <row r="1287" spans="16:17">
      <c r="P1287" t="s">
        <v>24</v>
      </c>
      <c r="Q1287">
        <v>2023</v>
      </c>
    </row>
    <row r="1288" spans="16:17">
      <c r="P1288" t="s">
        <v>1371</v>
      </c>
      <c r="Q1288">
        <v>2023</v>
      </c>
    </row>
    <row r="1289" spans="16:17">
      <c r="P1289" t="s">
        <v>2418</v>
      </c>
      <c r="Q1289">
        <v>2023</v>
      </c>
    </row>
    <row r="1290" spans="16:17">
      <c r="P1290" t="s">
        <v>1332</v>
      </c>
      <c r="Q1290">
        <v>2023</v>
      </c>
    </row>
    <row r="1291" spans="16:17">
      <c r="P1291" t="s">
        <v>1842</v>
      </c>
      <c r="Q1291">
        <v>2023</v>
      </c>
    </row>
    <row r="1292" spans="16:17">
      <c r="P1292" t="s">
        <v>293</v>
      </c>
      <c r="Q1292">
        <v>2023</v>
      </c>
    </row>
    <row r="1293" spans="16:17">
      <c r="P1293" t="s">
        <v>979</v>
      </c>
      <c r="Q1293">
        <v>2023</v>
      </c>
    </row>
    <row r="1294" spans="16:17">
      <c r="P1294" t="s">
        <v>1828</v>
      </c>
      <c r="Q1294">
        <v>2023</v>
      </c>
    </row>
    <row r="1295" spans="16:17">
      <c r="P1295" t="s">
        <v>762</v>
      </c>
      <c r="Q1295">
        <v>2023</v>
      </c>
    </row>
    <row r="1296" spans="16:17">
      <c r="P1296" t="s">
        <v>2255</v>
      </c>
      <c r="Q1296">
        <v>2023</v>
      </c>
    </row>
    <row r="1297" spans="16:17">
      <c r="P1297" t="s">
        <v>527</v>
      </c>
      <c r="Q1297">
        <v>2023</v>
      </c>
    </row>
    <row r="1298" spans="16:17">
      <c r="P1298" t="s">
        <v>2126</v>
      </c>
      <c r="Q1298">
        <v>2023</v>
      </c>
    </row>
    <row r="1299" spans="16:17">
      <c r="P1299" t="s">
        <v>1665</v>
      </c>
      <c r="Q1299">
        <v>2023</v>
      </c>
    </row>
    <row r="1300" spans="16:17">
      <c r="P1300" t="s">
        <v>2465</v>
      </c>
      <c r="Q1300">
        <v>2023</v>
      </c>
    </row>
    <row r="1301" spans="16:17">
      <c r="P1301" t="s">
        <v>121</v>
      </c>
      <c r="Q1301">
        <v>2023</v>
      </c>
    </row>
    <row r="1302" spans="16:17">
      <c r="P1302" t="s">
        <v>1465</v>
      </c>
      <c r="Q1302">
        <v>2023</v>
      </c>
    </row>
    <row r="1303" spans="16:17">
      <c r="P1303" t="s">
        <v>1543</v>
      </c>
      <c r="Q1303">
        <v>2023</v>
      </c>
    </row>
    <row r="1304" spans="16:17">
      <c r="P1304" t="s">
        <v>1448</v>
      </c>
      <c r="Q1304">
        <v>2023</v>
      </c>
    </row>
    <row r="1305" spans="16:17">
      <c r="P1305" t="s">
        <v>580</v>
      </c>
      <c r="Q1305">
        <v>2023</v>
      </c>
    </row>
    <row r="1306" spans="16:17">
      <c r="P1306" t="s">
        <v>1124</v>
      </c>
      <c r="Q1306">
        <v>2023</v>
      </c>
    </row>
    <row r="1307" spans="16:17">
      <c r="P1307" t="s">
        <v>374</v>
      </c>
      <c r="Q1307">
        <v>2023</v>
      </c>
    </row>
    <row r="1308" spans="16:17">
      <c r="P1308" t="s">
        <v>1076</v>
      </c>
      <c r="Q1308">
        <v>2023</v>
      </c>
    </row>
    <row r="1309" spans="16:17">
      <c r="P1309" t="s">
        <v>1476</v>
      </c>
      <c r="Q1309">
        <v>2023</v>
      </c>
    </row>
    <row r="1310" spans="16:17">
      <c r="P1310" t="s">
        <v>2073</v>
      </c>
      <c r="Q1310">
        <v>2023</v>
      </c>
    </row>
    <row r="1311" spans="16:17">
      <c r="P1311" t="s">
        <v>229</v>
      </c>
      <c r="Q1311">
        <v>2023</v>
      </c>
    </row>
    <row r="1312" spans="16:17">
      <c r="P1312" t="s">
        <v>776</v>
      </c>
      <c r="Q1312">
        <v>2023</v>
      </c>
    </row>
    <row r="1313" spans="16:17">
      <c r="P1313" t="s">
        <v>2468</v>
      </c>
      <c r="Q1313">
        <v>2023</v>
      </c>
    </row>
    <row r="1314" spans="16:17">
      <c r="P1314" t="s">
        <v>1188</v>
      </c>
      <c r="Q1314">
        <v>2023</v>
      </c>
    </row>
    <row r="1315" spans="16:17">
      <c r="P1315" t="s">
        <v>1627</v>
      </c>
      <c r="Q1315">
        <v>2023</v>
      </c>
    </row>
    <row r="1316" spans="16:17">
      <c r="P1316" t="s">
        <v>2013</v>
      </c>
      <c r="Q1316">
        <v>2023</v>
      </c>
    </row>
    <row r="1317" spans="16:17">
      <c r="P1317" t="s">
        <v>560</v>
      </c>
      <c r="Q1317">
        <v>2023</v>
      </c>
    </row>
    <row r="1318" spans="16:17">
      <c r="P1318" t="s">
        <v>1256</v>
      </c>
      <c r="Q1318">
        <v>2023</v>
      </c>
    </row>
    <row r="1319" spans="16:17">
      <c r="P1319" t="s">
        <v>1416</v>
      </c>
      <c r="Q1319">
        <v>2023</v>
      </c>
    </row>
    <row r="1320" spans="16:17">
      <c r="P1320" t="s">
        <v>1153</v>
      </c>
      <c r="Q1320">
        <v>2023</v>
      </c>
    </row>
    <row r="1321" spans="16:17">
      <c r="P1321" t="s">
        <v>2267</v>
      </c>
      <c r="Q1321">
        <v>2023</v>
      </c>
    </row>
    <row r="1322" spans="16:17">
      <c r="P1322" t="s">
        <v>1361</v>
      </c>
      <c r="Q1322">
        <v>2023</v>
      </c>
    </row>
    <row r="1323" spans="16:17">
      <c r="P1323" t="s">
        <v>909</v>
      </c>
      <c r="Q1323">
        <v>2023</v>
      </c>
    </row>
    <row r="1324" spans="16:17">
      <c r="P1324" t="s">
        <v>391</v>
      </c>
      <c r="Q1324">
        <v>2023</v>
      </c>
    </row>
    <row r="1325" spans="16:17">
      <c r="P1325" t="s">
        <v>1970</v>
      </c>
      <c r="Q1325">
        <v>2023</v>
      </c>
    </row>
    <row r="1326" spans="16:17">
      <c r="P1326" t="s">
        <v>109</v>
      </c>
      <c r="Q1326">
        <v>2023</v>
      </c>
    </row>
    <row r="1327" spans="16:17">
      <c r="P1327" t="s">
        <v>591</v>
      </c>
      <c r="Q1327">
        <v>2023</v>
      </c>
    </row>
    <row r="1328" spans="16:17">
      <c r="P1328" t="s">
        <v>1035</v>
      </c>
      <c r="Q1328">
        <v>2023</v>
      </c>
    </row>
    <row r="1329" spans="16:17">
      <c r="P1329" t="s">
        <v>34</v>
      </c>
      <c r="Q1329">
        <v>2023</v>
      </c>
    </row>
    <row r="1330" spans="16:17">
      <c r="P1330" t="s">
        <v>2474</v>
      </c>
      <c r="Q1330">
        <v>2023</v>
      </c>
    </row>
    <row r="1331" spans="16:17">
      <c r="P1331" t="s">
        <v>210</v>
      </c>
      <c r="Q1331">
        <v>2023</v>
      </c>
    </row>
    <row r="1332" spans="16:17">
      <c r="P1332" t="s">
        <v>1746</v>
      </c>
      <c r="Q1332">
        <v>2023</v>
      </c>
    </row>
    <row r="1333" spans="16:17">
      <c r="P1333" t="s">
        <v>793</v>
      </c>
      <c r="Q1333">
        <v>2023</v>
      </c>
    </row>
    <row r="1334" spans="16:17">
      <c r="P1334" t="s">
        <v>85</v>
      </c>
      <c r="Q1334">
        <v>2023</v>
      </c>
    </row>
    <row r="1335" spans="16:17">
      <c r="P1335" t="s">
        <v>2476</v>
      </c>
      <c r="Q1335">
        <v>2023</v>
      </c>
    </row>
    <row r="1336" spans="16:17">
      <c r="P1336" t="s">
        <v>1037</v>
      </c>
      <c r="Q1336">
        <v>2023</v>
      </c>
    </row>
    <row r="1337" spans="16:17">
      <c r="P1337" t="s">
        <v>1762</v>
      </c>
      <c r="Q1337">
        <v>2023</v>
      </c>
    </row>
    <row r="1338" spans="16:17">
      <c r="P1338" t="s">
        <v>1509</v>
      </c>
      <c r="Q1338">
        <v>2023</v>
      </c>
    </row>
    <row r="1339" spans="16:17">
      <c r="P1339" t="s">
        <v>1768</v>
      </c>
      <c r="Q1339">
        <v>2023</v>
      </c>
    </row>
    <row r="1340" spans="16:17">
      <c r="P1340" t="s">
        <v>1185</v>
      </c>
      <c r="Q1340">
        <v>2023</v>
      </c>
    </row>
    <row r="1341" spans="16:17">
      <c r="P1341" t="s">
        <v>217</v>
      </c>
      <c r="Q1341">
        <v>2023</v>
      </c>
    </row>
    <row r="1342" spans="16:17">
      <c r="P1342" t="s">
        <v>704</v>
      </c>
      <c r="Q1342">
        <v>2023</v>
      </c>
    </row>
    <row r="1343" spans="16:17">
      <c r="P1343" t="s">
        <v>919</v>
      </c>
      <c r="Q1343">
        <v>2023</v>
      </c>
    </row>
    <row r="1344" spans="16:17">
      <c r="P1344" t="s">
        <v>514</v>
      </c>
      <c r="Q1344">
        <v>2023</v>
      </c>
    </row>
    <row r="1345" spans="16:17">
      <c r="P1345" t="s">
        <v>2081</v>
      </c>
      <c r="Q1345">
        <v>2023</v>
      </c>
    </row>
    <row r="1346" spans="16:17">
      <c r="P1346" t="s">
        <v>494</v>
      </c>
      <c r="Q1346">
        <v>2023</v>
      </c>
    </row>
    <row r="1347" spans="16:17">
      <c r="P1347" t="s">
        <v>1640</v>
      </c>
      <c r="Q1347">
        <v>2023</v>
      </c>
    </row>
    <row r="1348" spans="16:17">
      <c r="P1348" t="s">
        <v>409</v>
      </c>
      <c r="Q1348">
        <v>2023</v>
      </c>
    </row>
    <row r="1349" spans="16:17">
      <c r="P1349" t="s">
        <v>1830</v>
      </c>
      <c r="Q1349">
        <v>2023</v>
      </c>
    </row>
    <row r="1350" spans="16:17">
      <c r="P1350" t="s">
        <v>1419</v>
      </c>
      <c r="Q1350">
        <v>2023</v>
      </c>
    </row>
    <row r="1351" spans="16:17">
      <c r="P1351" t="s">
        <v>309</v>
      </c>
      <c r="Q1351">
        <v>2023</v>
      </c>
    </row>
    <row r="1352" spans="16:17">
      <c r="P1352" t="s">
        <v>1619</v>
      </c>
      <c r="Q1352">
        <v>2023</v>
      </c>
    </row>
    <row r="1353" spans="16:17">
      <c r="P1353" t="s">
        <v>1265</v>
      </c>
      <c r="Q1353">
        <v>2023</v>
      </c>
    </row>
    <row r="1354" spans="16:17">
      <c r="P1354" t="s">
        <v>1496</v>
      </c>
      <c r="Q1354">
        <v>2023</v>
      </c>
    </row>
    <row r="1355" spans="16:17">
      <c r="P1355" t="s">
        <v>657</v>
      </c>
      <c r="Q1355">
        <v>2023</v>
      </c>
    </row>
    <row r="1356" spans="16:17">
      <c r="P1356" t="s">
        <v>295</v>
      </c>
      <c r="Q1356">
        <v>2023</v>
      </c>
    </row>
    <row r="1357" spans="16:17">
      <c r="P1357" t="s">
        <v>1948</v>
      </c>
      <c r="Q1357">
        <v>2023</v>
      </c>
    </row>
    <row r="1358" spans="16:17">
      <c r="P1358" t="s">
        <v>2484</v>
      </c>
      <c r="Q1358">
        <v>2023</v>
      </c>
    </row>
    <row r="1359" spans="16:17">
      <c r="P1359" t="s">
        <v>724</v>
      </c>
      <c r="Q1359">
        <v>2023</v>
      </c>
    </row>
    <row r="1360" spans="16:17">
      <c r="P1360" t="s">
        <v>287</v>
      </c>
      <c r="Q1360">
        <v>2023</v>
      </c>
    </row>
    <row r="1361" spans="16:17">
      <c r="P1361" t="s">
        <v>1721</v>
      </c>
      <c r="Q1361">
        <v>2023</v>
      </c>
    </row>
    <row r="1362" spans="16:17">
      <c r="P1362" t="s">
        <v>336</v>
      </c>
      <c r="Q1362">
        <v>2023</v>
      </c>
    </row>
    <row r="1363" spans="16:17">
      <c r="P1363" t="s">
        <v>74</v>
      </c>
      <c r="Q1363">
        <v>2023</v>
      </c>
    </row>
    <row r="1364" spans="16:17">
      <c r="P1364" t="s">
        <v>1425</v>
      </c>
      <c r="Q1364">
        <v>2023</v>
      </c>
    </row>
    <row r="1365" spans="16:17">
      <c r="P1365" t="s">
        <v>297</v>
      </c>
      <c r="Q1365">
        <v>2023</v>
      </c>
    </row>
    <row r="1366" spans="16:17">
      <c r="P1366" t="s">
        <v>1679</v>
      </c>
      <c r="Q1366">
        <v>2023</v>
      </c>
    </row>
    <row r="1367" spans="16:17">
      <c r="P1367" t="s">
        <v>955</v>
      </c>
      <c r="Q1367">
        <v>2023</v>
      </c>
    </row>
    <row r="1368" spans="16:17">
      <c r="P1368" t="s">
        <v>124</v>
      </c>
      <c r="Q1368">
        <v>2023</v>
      </c>
    </row>
    <row r="1369" spans="16:17">
      <c r="P1369" t="s">
        <v>2488</v>
      </c>
      <c r="Q1369">
        <v>2023</v>
      </c>
    </row>
    <row r="1370" spans="16:17">
      <c r="P1370" t="s">
        <v>771</v>
      </c>
      <c r="Q1370">
        <v>2023</v>
      </c>
    </row>
    <row r="1371" spans="16:17">
      <c r="P1371" t="s">
        <v>2096</v>
      </c>
      <c r="Q1371">
        <v>2023</v>
      </c>
    </row>
    <row r="1372" spans="16:17">
      <c r="P1372" t="s">
        <v>1549</v>
      </c>
      <c r="Q1372">
        <v>2023</v>
      </c>
    </row>
    <row r="1373" spans="16:17">
      <c r="P1373" t="s">
        <v>1154</v>
      </c>
      <c r="Q1373">
        <v>2023</v>
      </c>
    </row>
    <row r="1374" spans="16:17">
      <c r="P1374" t="s">
        <v>617</v>
      </c>
      <c r="Q1374">
        <v>2023</v>
      </c>
    </row>
    <row r="1375" spans="16:17">
      <c r="P1375" t="s">
        <v>780</v>
      </c>
      <c r="Q1375">
        <v>2023</v>
      </c>
    </row>
    <row r="1376" spans="16:17">
      <c r="P1376" t="s">
        <v>1595</v>
      </c>
      <c r="Q1376">
        <v>2023</v>
      </c>
    </row>
    <row r="1377" spans="16:17">
      <c r="P1377" t="s">
        <v>1290</v>
      </c>
      <c r="Q1377">
        <v>2023</v>
      </c>
    </row>
    <row r="1378" spans="16:17">
      <c r="P1378" t="s">
        <v>1113</v>
      </c>
      <c r="Q1378">
        <v>2023</v>
      </c>
    </row>
    <row r="1379" spans="16:17">
      <c r="P1379" t="s">
        <v>2498</v>
      </c>
      <c r="Q1379">
        <v>2023</v>
      </c>
    </row>
    <row r="1380" spans="16:17">
      <c r="P1380" t="s">
        <v>1612</v>
      </c>
      <c r="Q1380">
        <v>2023</v>
      </c>
    </row>
    <row r="1381" spans="16:17">
      <c r="P1381" t="s">
        <v>1370</v>
      </c>
      <c r="Q1381">
        <v>2023</v>
      </c>
    </row>
    <row r="1382" spans="16:17">
      <c r="P1382" t="s">
        <v>1894</v>
      </c>
      <c r="Q1382">
        <v>2023</v>
      </c>
    </row>
    <row r="1383" spans="16:17">
      <c r="P1383" t="s">
        <v>424</v>
      </c>
      <c r="Q1383">
        <v>2023</v>
      </c>
    </row>
    <row r="1384" spans="16:17">
      <c r="P1384" t="s">
        <v>407</v>
      </c>
      <c r="Q1384">
        <v>2023</v>
      </c>
    </row>
    <row r="1385" spans="16:17">
      <c r="P1385" t="s">
        <v>1341</v>
      </c>
      <c r="Q1385">
        <v>2023</v>
      </c>
    </row>
    <row r="1386" spans="16:17">
      <c r="P1386" t="s">
        <v>1445</v>
      </c>
      <c r="Q1386">
        <v>2023</v>
      </c>
    </row>
    <row r="1387" spans="16:17">
      <c r="P1387" t="s">
        <v>2500</v>
      </c>
      <c r="Q1387">
        <v>2023</v>
      </c>
    </row>
    <row r="1388" spans="16:17">
      <c r="P1388" t="s">
        <v>2387</v>
      </c>
      <c r="Q1388">
        <v>2023</v>
      </c>
    </row>
    <row r="1389" spans="16:17">
      <c r="P1389" t="s">
        <v>79</v>
      </c>
      <c r="Q1389">
        <v>2023</v>
      </c>
    </row>
    <row r="1390" spans="16:17">
      <c r="P1390" t="s">
        <v>877</v>
      </c>
      <c r="Q1390">
        <v>2023</v>
      </c>
    </row>
    <row r="1391" spans="16:17">
      <c r="P1391" t="s">
        <v>815</v>
      </c>
      <c r="Q1391">
        <v>2023</v>
      </c>
    </row>
    <row r="1392" spans="16:17">
      <c r="P1392" t="s">
        <v>2109</v>
      </c>
      <c r="Q1392">
        <v>2023</v>
      </c>
    </row>
    <row r="1393" spans="16:17">
      <c r="P1393" t="s">
        <v>2385</v>
      </c>
      <c r="Q1393">
        <v>2023</v>
      </c>
    </row>
    <row r="1394" spans="16:17">
      <c r="P1394" t="s">
        <v>2224</v>
      </c>
      <c r="Q1394">
        <v>2023</v>
      </c>
    </row>
    <row r="1395" spans="16:17">
      <c r="P1395" t="s">
        <v>967</v>
      </c>
      <c r="Q1395">
        <v>2023</v>
      </c>
    </row>
    <row r="1396" spans="16:17">
      <c r="P1396" t="s">
        <v>2503</v>
      </c>
      <c r="Q1396">
        <v>2023</v>
      </c>
    </row>
    <row r="1397" spans="16:17">
      <c r="P1397" t="s">
        <v>1006</v>
      </c>
      <c r="Q1397">
        <v>2023</v>
      </c>
    </row>
    <row r="1398" spans="16:17">
      <c r="P1398" t="s">
        <v>1750</v>
      </c>
      <c r="Q1398">
        <v>2023</v>
      </c>
    </row>
    <row r="1399" spans="16:17">
      <c r="P1399" t="s">
        <v>667</v>
      </c>
      <c r="Q1399">
        <v>2023</v>
      </c>
    </row>
    <row r="1400" spans="16:17">
      <c r="P1400" t="s">
        <v>2505</v>
      </c>
      <c r="Q1400">
        <v>2023</v>
      </c>
    </row>
    <row r="1401" spans="16:17">
      <c r="P1401" t="s">
        <v>539</v>
      </c>
      <c r="Q1401">
        <v>2023</v>
      </c>
    </row>
    <row r="1402" spans="16:17">
      <c r="P1402" t="s">
        <v>2244</v>
      </c>
      <c r="Q1402">
        <v>2023</v>
      </c>
    </row>
    <row r="1403" spans="16:17">
      <c r="P1403" t="s">
        <v>2506</v>
      </c>
      <c r="Q1403">
        <v>2023</v>
      </c>
    </row>
    <row r="1404" spans="16:17">
      <c r="P1404" t="s">
        <v>674</v>
      </c>
      <c r="Q1404">
        <v>2023</v>
      </c>
    </row>
    <row r="1405" spans="16:17">
      <c r="P1405" t="s">
        <v>1363</v>
      </c>
      <c r="Q1405">
        <v>2023</v>
      </c>
    </row>
    <row r="1406" spans="16:17">
      <c r="P1406" t="s">
        <v>791</v>
      </c>
      <c r="Q1406">
        <v>2023</v>
      </c>
    </row>
    <row r="1407" spans="16:17">
      <c r="P1407" t="s">
        <v>2509</v>
      </c>
      <c r="Q1407">
        <v>2023</v>
      </c>
    </row>
    <row r="1408" spans="16:17">
      <c r="P1408" t="s">
        <v>71</v>
      </c>
      <c r="Q1408">
        <v>2023</v>
      </c>
    </row>
    <row r="1409" spans="16:17">
      <c r="P1409" t="s">
        <v>736</v>
      </c>
      <c r="Q1409">
        <v>2023</v>
      </c>
    </row>
    <row r="1410" spans="16:17">
      <c r="P1410" t="s">
        <v>1380</v>
      </c>
      <c r="Q1410">
        <v>2023</v>
      </c>
    </row>
    <row r="1411" spans="16:17">
      <c r="P1411" t="s">
        <v>1305</v>
      </c>
      <c r="Q1411">
        <v>2023</v>
      </c>
    </row>
    <row r="1412" spans="16:17">
      <c r="P1412" t="s">
        <v>1887</v>
      </c>
      <c r="Q1412">
        <v>2023</v>
      </c>
    </row>
    <row r="1413" spans="16:17">
      <c r="P1413" t="s">
        <v>2512</v>
      </c>
      <c r="Q1413">
        <v>2023</v>
      </c>
    </row>
    <row r="1414" spans="16:17">
      <c r="P1414" t="s">
        <v>2176</v>
      </c>
      <c r="Q1414">
        <v>2023</v>
      </c>
    </row>
    <row r="1415" spans="16:17">
      <c r="P1415" t="s">
        <v>1106</v>
      </c>
      <c r="Q1415">
        <v>2023</v>
      </c>
    </row>
    <row r="1416" spans="16:17">
      <c r="P1416" t="s">
        <v>585</v>
      </c>
      <c r="Q1416">
        <v>2023</v>
      </c>
    </row>
    <row r="1417" spans="16:17">
      <c r="P1417" t="s">
        <v>258</v>
      </c>
      <c r="Q1417">
        <v>2023</v>
      </c>
    </row>
    <row r="1418" spans="16:17">
      <c r="P1418" t="s">
        <v>1079</v>
      </c>
      <c r="Q1418">
        <v>2023</v>
      </c>
    </row>
    <row r="1419" spans="16:17">
      <c r="P1419" t="s">
        <v>1069</v>
      </c>
      <c r="Q1419">
        <v>2023</v>
      </c>
    </row>
    <row r="1420" spans="16:17">
      <c r="P1420" t="s">
        <v>1968</v>
      </c>
      <c r="Q1420">
        <v>2023</v>
      </c>
    </row>
    <row r="1421" spans="16:17">
      <c r="P1421" t="s">
        <v>535</v>
      </c>
      <c r="Q1421">
        <v>2023</v>
      </c>
    </row>
    <row r="1422" spans="16:17">
      <c r="P1422" t="s">
        <v>1072</v>
      </c>
      <c r="Q1422">
        <v>2023</v>
      </c>
    </row>
    <row r="1423" spans="16:17">
      <c r="P1423" t="s">
        <v>1394</v>
      </c>
      <c r="Q1423">
        <v>2023</v>
      </c>
    </row>
    <row r="1424" spans="16:17">
      <c r="P1424" t="s">
        <v>2520</v>
      </c>
      <c r="Q1424">
        <v>2023</v>
      </c>
    </row>
    <row r="1425" spans="16:17">
      <c r="P1425" t="s">
        <v>985</v>
      </c>
      <c r="Q1425">
        <v>2023</v>
      </c>
    </row>
    <row r="1426" spans="16:17">
      <c r="P1426" t="s">
        <v>1385</v>
      </c>
      <c r="Q1426">
        <v>2023</v>
      </c>
    </row>
    <row r="1427" spans="16:17">
      <c r="P1427" t="s">
        <v>679</v>
      </c>
      <c r="Q1427">
        <v>2023</v>
      </c>
    </row>
    <row r="1428" spans="16:17">
      <c r="P1428" t="s">
        <v>994</v>
      </c>
      <c r="Q1428">
        <v>2023</v>
      </c>
    </row>
    <row r="1429" spans="16:17">
      <c r="P1429" t="s">
        <v>1780</v>
      </c>
      <c r="Q1429">
        <v>2023</v>
      </c>
    </row>
    <row r="1430" spans="16:17">
      <c r="P1430" t="s">
        <v>1659</v>
      </c>
      <c r="Q1430">
        <v>2023</v>
      </c>
    </row>
    <row r="1431" spans="16:17">
      <c r="P1431" t="s">
        <v>1570</v>
      </c>
      <c r="Q1431">
        <v>2023</v>
      </c>
    </row>
    <row r="1432" spans="16:17">
      <c r="P1432" t="s">
        <v>630</v>
      </c>
      <c r="Q1432">
        <v>2023</v>
      </c>
    </row>
    <row r="1433" spans="16:17">
      <c r="P1433" t="s">
        <v>1373</v>
      </c>
      <c r="Q1433">
        <v>2023</v>
      </c>
    </row>
    <row r="1434" spans="16:17">
      <c r="P1434" t="s">
        <v>11</v>
      </c>
      <c r="Q1434">
        <v>2023</v>
      </c>
    </row>
    <row r="1435" spans="16:17">
      <c r="P1435" t="s">
        <v>206</v>
      </c>
      <c r="Q1435">
        <v>2023</v>
      </c>
    </row>
    <row r="1436" spans="16:17">
      <c r="P1436" t="s">
        <v>2413</v>
      </c>
      <c r="Q1436">
        <v>2023</v>
      </c>
    </row>
    <row r="1437" spans="16:17">
      <c r="P1437" t="s">
        <v>1428</v>
      </c>
      <c r="Q1437">
        <v>2023</v>
      </c>
    </row>
    <row r="1438" spans="16:17">
      <c r="P1438" t="s">
        <v>195</v>
      </c>
      <c r="Q1438">
        <v>2023</v>
      </c>
    </row>
    <row r="1439" spans="16:17">
      <c r="P1439" t="s">
        <v>470</v>
      </c>
      <c r="Q1439">
        <v>2023</v>
      </c>
    </row>
    <row r="1440" spans="16:17">
      <c r="P1440" t="s">
        <v>1007</v>
      </c>
      <c r="Q1440">
        <v>2023</v>
      </c>
    </row>
    <row r="1441" spans="16:17">
      <c r="P1441" t="s">
        <v>1288</v>
      </c>
      <c r="Q1441">
        <v>2023</v>
      </c>
    </row>
    <row r="1442" spans="16:17">
      <c r="P1442" t="s">
        <v>734</v>
      </c>
      <c r="Q1442">
        <v>2023</v>
      </c>
    </row>
    <row r="1443" spans="16:17">
      <c r="P1443" t="s">
        <v>316</v>
      </c>
      <c r="Q1443">
        <v>2023</v>
      </c>
    </row>
    <row r="1444" spans="16:17">
      <c r="P1444" t="s">
        <v>1519</v>
      </c>
      <c r="Q1444">
        <v>2023</v>
      </c>
    </row>
    <row r="1445" spans="16:17">
      <c r="P1445" t="s">
        <v>445</v>
      </c>
      <c r="Q1445">
        <v>2023</v>
      </c>
    </row>
    <row r="1446" spans="16:17">
      <c r="P1446" t="s">
        <v>1654</v>
      </c>
      <c r="Q1446">
        <v>2023</v>
      </c>
    </row>
    <row r="1447" spans="16:17">
      <c r="P1447" t="s">
        <v>214</v>
      </c>
      <c r="Q1447">
        <v>2023</v>
      </c>
    </row>
    <row r="1448" spans="16:17">
      <c r="P1448" t="s">
        <v>321</v>
      </c>
      <c r="Q1448">
        <v>2023</v>
      </c>
    </row>
    <row r="1449" spans="16:17">
      <c r="P1449" t="s">
        <v>2528</v>
      </c>
      <c r="Q1449">
        <v>2023</v>
      </c>
    </row>
    <row r="1450" spans="16:17">
      <c r="P1450" t="s">
        <v>1773</v>
      </c>
      <c r="Q1450">
        <v>2023</v>
      </c>
    </row>
    <row r="1451" spans="16:17">
      <c r="P1451" t="s">
        <v>1468</v>
      </c>
      <c r="Q1451">
        <v>2023</v>
      </c>
    </row>
    <row r="1452" spans="16:17">
      <c r="P1452" t="s">
        <v>1407</v>
      </c>
      <c r="Q1452">
        <v>2023</v>
      </c>
    </row>
    <row r="1453" spans="16:17">
      <c r="P1453" t="s">
        <v>1014</v>
      </c>
      <c r="Q1453">
        <v>2023</v>
      </c>
    </row>
    <row r="1454" spans="16:17">
      <c r="P1454" t="s">
        <v>248</v>
      </c>
      <c r="Q1454">
        <v>2023</v>
      </c>
    </row>
    <row r="1455" spans="16:17">
      <c r="P1455" t="s">
        <v>2530</v>
      </c>
      <c r="Q1455">
        <v>2023</v>
      </c>
    </row>
    <row r="1456" spans="16:17">
      <c r="P1456" t="s">
        <v>912</v>
      </c>
      <c r="Q1456">
        <v>2023</v>
      </c>
    </row>
    <row r="1457" spans="16:17">
      <c r="P1457" t="s">
        <v>382</v>
      </c>
      <c r="Q1457">
        <v>2023</v>
      </c>
    </row>
    <row r="1458" spans="16:17">
      <c r="P1458" t="s">
        <v>525</v>
      </c>
      <c r="Q1458">
        <v>2023</v>
      </c>
    </row>
    <row r="1459" spans="16:17">
      <c r="P1459" t="s">
        <v>868</v>
      </c>
      <c r="Q1459">
        <v>2023</v>
      </c>
    </row>
    <row r="1460" spans="16:17">
      <c r="P1460" t="s">
        <v>1477</v>
      </c>
      <c r="Q1460">
        <v>2023</v>
      </c>
    </row>
    <row r="1461" spans="16:17">
      <c r="P1461" t="s">
        <v>1057</v>
      </c>
      <c r="Q1461">
        <v>2023</v>
      </c>
    </row>
    <row r="1462" spans="16:17">
      <c r="P1462" t="s">
        <v>1785</v>
      </c>
      <c r="Q1462">
        <v>2023</v>
      </c>
    </row>
    <row r="1463" spans="16:17">
      <c r="P1463" t="s">
        <v>1753</v>
      </c>
      <c r="Q1463">
        <v>2023</v>
      </c>
    </row>
    <row r="1464" spans="16:17">
      <c r="P1464" t="s">
        <v>2300</v>
      </c>
      <c r="Q1464">
        <v>2023</v>
      </c>
    </row>
    <row r="1465" spans="16:17">
      <c r="P1465" t="s">
        <v>2536</v>
      </c>
      <c r="Q1465">
        <v>2023</v>
      </c>
    </row>
    <row r="1466" spans="16:17">
      <c r="P1466" t="s">
        <v>659</v>
      </c>
      <c r="Q1466">
        <v>2023</v>
      </c>
    </row>
    <row r="1467" spans="16:17">
      <c r="P1467" t="s">
        <v>601</v>
      </c>
      <c r="Q1467">
        <v>2023</v>
      </c>
    </row>
    <row r="1468" spans="16:17">
      <c r="P1468" t="s">
        <v>1537</v>
      </c>
      <c r="Q1468">
        <v>2023</v>
      </c>
    </row>
    <row r="1469" spans="16:17">
      <c r="P1469" t="s">
        <v>973</v>
      </c>
      <c r="Q1469">
        <v>2023</v>
      </c>
    </row>
    <row r="1470" spans="16:17">
      <c r="P1470" t="s">
        <v>1198</v>
      </c>
      <c r="Q1470">
        <v>2023</v>
      </c>
    </row>
    <row r="1471" spans="16:17">
      <c r="P1471" t="s">
        <v>1244</v>
      </c>
      <c r="Q1471">
        <v>2023</v>
      </c>
    </row>
    <row r="1472" spans="16:17">
      <c r="P1472" t="s">
        <v>2090</v>
      </c>
      <c r="Q1472">
        <v>2023</v>
      </c>
    </row>
    <row r="1473" spans="16:17">
      <c r="P1473" t="s">
        <v>607</v>
      </c>
      <c r="Q1473">
        <v>2023</v>
      </c>
    </row>
    <row r="1474" spans="16:17">
      <c r="P1474" t="s">
        <v>716</v>
      </c>
      <c r="Q1474">
        <v>2023</v>
      </c>
    </row>
    <row r="1475" spans="16:17">
      <c r="P1475" t="s">
        <v>282</v>
      </c>
      <c r="Q1475">
        <v>2023</v>
      </c>
    </row>
    <row r="1476" spans="16:17">
      <c r="P1476" t="s">
        <v>1868</v>
      </c>
      <c r="Q1476">
        <v>2023</v>
      </c>
    </row>
    <row r="1477" spans="16:17">
      <c r="P1477" t="s">
        <v>2539</v>
      </c>
      <c r="Q1477">
        <v>2023</v>
      </c>
    </row>
    <row r="1478" spans="16:17">
      <c r="P1478" t="s">
        <v>2542</v>
      </c>
      <c r="Q1478">
        <v>2023</v>
      </c>
    </row>
    <row r="1479" spans="16:17">
      <c r="P1479" t="s">
        <v>1179</v>
      </c>
      <c r="Q1479">
        <v>2023</v>
      </c>
    </row>
    <row r="1480" spans="16:17">
      <c r="P1480" t="s">
        <v>2543</v>
      </c>
      <c r="Q1480">
        <v>2023</v>
      </c>
    </row>
    <row r="1481" spans="16:17">
      <c r="P1481" t="s">
        <v>648</v>
      </c>
      <c r="Q1481">
        <v>2023</v>
      </c>
    </row>
    <row r="1482" spans="16:17">
      <c r="P1482" t="s">
        <v>1473</v>
      </c>
      <c r="Q1482">
        <v>2023</v>
      </c>
    </row>
    <row r="1483" spans="16:17">
      <c r="P1483" t="s">
        <v>1586</v>
      </c>
      <c r="Q1483">
        <v>2023</v>
      </c>
    </row>
    <row r="1484" spans="16:17">
      <c r="P1484" t="s">
        <v>2039</v>
      </c>
      <c r="Q1484">
        <v>2023</v>
      </c>
    </row>
    <row r="1485" spans="16:17">
      <c r="P1485" t="s">
        <v>452</v>
      </c>
      <c r="Q1485">
        <v>2023</v>
      </c>
    </row>
    <row r="1486" spans="16:17">
      <c r="P1486" t="s">
        <v>1337</v>
      </c>
      <c r="Q1486">
        <v>2023</v>
      </c>
    </row>
    <row r="1487" spans="16:17">
      <c r="P1487" t="s">
        <v>60</v>
      </c>
      <c r="Q1487">
        <v>2023</v>
      </c>
    </row>
    <row r="1488" spans="16:17">
      <c r="P1488" t="s">
        <v>2546</v>
      </c>
      <c r="Q1488">
        <v>2023</v>
      </c>
    </row>
    <row r="1489" spans="16:17">
      <c r="P1489" t="s">
        <v>2190</v>
      </c>
      <c r="Q1489">
        <v>2023</v>
      </c>
    </row>
    <row r="1490" spans="16:17">
      <c r="P1490" t="s">
        <v>1142</v>
      </c>
      <c r="Q1490">
        <v>2023</v>
      </c>
    </row>
    <row r="1491" spans="16:17">
      <c r="P1491" t="s">
        <v>953</v>
      </c>
      <c r="Q1491">
        <v>2023</v>
      </c>
    </row>
    <row r="1492" spans="16:17">
      <c r="P1492" t="s">
        <v>578</v>
      </c>
      <c r="Q1492">
        <v>2023</v>
      </c>
    </row>
    <row r="1493" spans="16:17">
      <c r="P1493" t="s">
        <v>2550</v>
      </c>
      <c r="Q1493">
        <v>2023</v>
      </c>
    </row>
    <row r="1494" spans="16:17">
      <c r="P1494" t="s">
        <v>893</v>
      </c>
      <c r="Q1494">
        <v>2023</v>
      </c>
    </row>
    <row r="1495" spans="16:17">
      <c r="P1495" t="s">
        <v>1879</v>
      </c>
      <c r="Q1495">
        <v>2023</v>
      </c>
    </row>
    <row r="1496" spans="16:17">
      <c r="P1496" t="s">
        <v>1939</v>
      </c>
      <c r="Q1496">
        <v>2023</v>
      </c>
    </row>
    <row r="1497" spans="16:17">
      <c r="P1497" t="s">
        <v>2552</v>
      </c>
      <c r="Q1497">
        <v>2023</v>
      </c>
    </row>
    <row r="1498" spans="16:17">
      <c r="P1498" t="s">
        <v>1487</v>
      </c>
      <c r="Q1498">
        <v>2023</v>
      </c>
    </row>
    <row r="1499" spans="16:17">
      <c r="P1499" t="s">
        <v>153</v>
      </c>
      <c r="Q1499">
        <v>2023</v>
      </c>
    </row>
    <row r="1500" spans="16:17">
      <c r="P1500" t="s">
        <v>569</v>
      </c>
      <c r="Q1500">
        <v>2023</v>
      </c>
    </row>
    <row r="1501" spans="16:17">
      <c r="P1501" t="s">
        <v>1557</v>
      </c>
      <c r="Q1501">
        <v>2023</v>
      </c>
    </row>
    <row r="1502" spans="16:17">
      <c r="P1502" t="s">
        <v>1140</v>
      </c>
      <c r="Q1502">
        <v>2023</v>
      </c>
    </row>
    <row r="1503" spans="16:17">
      <c r="P1503" t="s">
        <v>2207</v>
      </c>
      <c r="Q1503">
        <v>2023</v>
      </c>
    </row>
    <row r="1504" spans="16:17">
      <c r="P1504" t="s">
        <v>2102</v>
      </c>
      <c r="Q1504">
        <v>2023</v>
      </c>
    </row>
    <row r="1505" spans="16:17">
      <c r="P1505" t="s">
        <v>1805</v>
      </c>
      <c r="Q1505">
        <v>2023</v>
      </c>
    </row>
    <row r="1506" spans="16:17">
      <c r="P1506" t="s">
        <v>1844</v>
      </c>
      <c r="Q1506">
        <v>2023</v>
      </c>
    </row>
    <row r="1507" spans="16:17">
      <c r="P1507" t="s">
        <v>467</v>
      </c>
      <c r="Q1507">
        <v>2023</v>
      </c>
    </row>
    <row r="1508" spans="16:17">
      <c r="P1508" t="s">
        <v>1686</v>
      </c>
      <c r="Q1508">
        <v>2023</v>
      </c>
    </row>
    <row r="1509" spans="16:17">
      <c r="P1509" t="s">
        <v>102</v>
      </c>
      <c r="Q1509">
        <v>2023</v>
      </c>
    </row>
    <row r="1510" spans="16:17">
      <c r="P1510" t="s">
        <v>1671</v>
      </c>
      <c r="Q1510">
        <v>2023</v>
      </c>
    </row>
    <row r="1511" spans="16:17">
      <c r="P1511" t="s">
        <v>464</v>
      </c>
      <c r="Q1511">
        <v>2023</v>
      </c>
    </row>
    <row r="1512" spans="16:17">
      <c r="P1512" t="s">
        <v>1005</v>
      </c>
      <c r="Q1512">
        <v>2023</v>
      </c>
    </row>
    <row r="1513" spans="16:17">
      <c r="P1513" t="s">
        <v>2558</v>
      </c>
      <c r="Q1513">
        <v>2023</v>
      </c>
    </row>
    <row r="1514" spans="16:17">
      <c r="P1514" t="s">
        <v>2119</v>
      </c>
      <c r="Q1514">
        <v>2023</v>
      </c>
    </row>
    <row r="1515" spans="16:17">
      <c r="P1515" t="s">
        <v>1633</v>
      </c>
      <c r="Q1515">
        <v>2023</v>
      </c>
    </row>
    <row r="1516" spans="16:17">
      <c r="P1516" t="s">
        <v>1216</v>
      </c>
      <c r="Q1516">
        <v>2023</v>
      </c>
    </row>
    <row r="1517" spans="16:17">
      <c r="P1517" t="s">
        <v>2560</v>
      </c>
      <c r="Q1517">
        <v>2023</v>
      </c>
    </row>
    <row r="1518" spans="16:17">
      <c r="P1518" t="s">
        <v>435</v>
      </c>
      <c r="Q1518">
        <v>2023</v>
      </c>
    </row>
    <row r="1519" spans="16:17">
      <c r="P1519" t="s">
        <v>1078</v>
      </c>
      <c r="Q1519">
        <v>2023</v>
      </c>
    </row>
    <row r="1520" spans="16:17">
      <c r="P1520" t="s">
        <v>63</v>
      </c>
      <c r="Q1520">
        <v>2023</v>
      </c>
    </row>
    <row r="1521" spans="16:17">
      <c r="P1521" t="s">
        <v>2103</v>
      </c>
      <c r="Q1521">
        <v>2023</v>
      </c>
    </row>
    <row r="1522" spans="16:17">
      <c r="P1522" t="s">
        <v>841</v>
      </c>
      <c r="Q1522">
        <v>2023</v>
      </c>
    </row>
    <row r="1523" spans="16:17">
      <c r="P1523" t="s">
        <v>1336</v>
      </c>
      <c r="Q1523">
        <v>2023</v>
      </c>
    </row>
    <row r="1524" spans="16:17">
      <c r="P1524" t="s">
        <v>965</v>
      </c>
      <c r="Q1524">
        <v>2023</v>
      </c>
    </row>
    <row r="1525" spans="16:17">
      <c r="P1525" t="s">
        <v>2296</v>
      </c>
      <c r="Q1525">
        <v>2023</v>
      </c>
    </row>
    <row r="1526" spans="16:17">
      <c r="P1526" t="s">
        <v>2383</v>
      </c>
      <c r="Q1526">
        <v>2023</v>
      </c>
    </row>
    <row r="1527" spans="16:17">
      <c r="P1527" t="s">
        <v>1048</v>
      </c>
      <c r="Q1527">
        <v>2023</v>
      </c>
    </row>
    <row r="1528" spans="16:17">
      <c r="P1528" t="s">
        <v>598</v>
      </c>
      <c r="Q1528">
        <v>2023</v>
      </c>
    </row>
    <row r="1529" spans="16:17">
      <c r="P1529" t="s">
        <v>1922</v>
      </c>
      <c r="Q1529">
        <v>2023</v>
      </c>
    </row>
    <row r="1530" spans="16:17">
      <c r="P1530" t="s">
        <v>863</v>
      </c>
      <c r="Q1530">
        <v>2023</v>
      </c>
    </row>
    <row r="1531" spans="16:17">
      <c r="P1531" t="s">
        <v>1799</v>
      </c>
      <c r="Q1531">
        <v>2023</v>
      </c>
    </row>
    <row r="1532" spans="16:17">
      <c r="P1532" t="s">
        <v>204</v>
      </c>
      <c r="Q1532">
        <v>2023</v>
      </c>
    </row>
    <row r="1533" spans="16:17">
      <c r="P1533" t="s">
        <v>1795</v>
      </c>
      <c r="Q1533">
        <v>2023</v>
      </c>
    </row>
    <row r="1534" spans="16:17">
      <c r="P1534" t="s">
        <v>1175</v>
      </c>
      <c r="Q1534">
        <v>2023</v>
      </c>
    </row>
    <row r="1535" spans="16:17">
      <c r="P1535" t="s">
        <v>556</v>
      </c>
      <c r="Q1535">
        <v>2023</v>
      </c>
    </row>
    <row r="1536" spans="16:17">
      <c r="P1536" t="s">
        <v>359</v>
      </c>
      <c r="Q1536">
        <v>2023</v>
      </c>
    </row>
    <row r="1537" spans="16:17">
      <c r="P1537" t="s">
        <v>2023</v>
      </c>
      <c r="Q1537">
        <v>2023</v>
      </c>
    </row>
    <row r="1538" spans="16:17">
      <c r="P1538" t="s">
        <v>1552</v>
      </c>
      <c r="Q1538">
        <v>2023</v>
      </c>
    </row>
    <row r="1539" spans="16:17">
      <c r="P1539" t="s">
        <v>2139</v>
      </c>
      <c r="Q1539">
        <v>2023</v>
      </c>
    </row>
    <row r="1540" spans="16:17">
      <c r="P1540" t="s">
        <v>773</v>
      </c>
      <c r="Q1540">
        <v>2023</v>
      </c>
    </row>
    <row r="1541" spans="16:17">
      <c r="P1541" t="s">
        <v>2566</v>
      </c>
      <c r="Q1541">
        <v>2023</v>
      </c>
    </row>
    <row r="1542" spans="16:17">
      <c r="P1542" t="s">
        <v>750</v>
      </c>
      <c r="Q1542">
        <v>2023</v>
      </c>
    </row>
    <row r="1543" spans="16:17">
      <c r="P1543" t="s">
        <v>1440</v>
      </c>
      <c r="Q1543">
        <v>2023</v>
      </c>
    </row>
    <row r="1544" spans="16:17">
      <c r="P1544" t="s">
        <v>500</v>
      </c>
      <c r="Q1544">
        <v>2023</v>
      </c>
    </row>
    <row r="1545" spans="16:17">
      <c r="P1545" t="s">
        <v>691</v>
      </c>
      <c r="Q1545">
        <v>2023</v>
      </c>
    </row>
    <row r="1546" spans="16:17">
      <c r="P1546" t="s">
        <v>614</v>
      </c>
      <c r="Q1546">
        <v>2023</v>
      </c>
    </row>
    <row r="1547" spans="16:17">
      <c r="P1547" t="s">
        <v>1223</v>
      </c>
      <c r="Q1547">
        <v>2023</v>
      </c>
    </row>
    <row r="1548" spans="16:17">
      <c r="P1548" t="s">
        <v>2044</v>
      </c>
      <c r="Q1548">
        <v>2023</v>
      </c>
    </row>
    <row r="1549" spans="16:17">
      <c r="P1549" t="s">
        <v>1163</v>
      </c>
      <c r="Q1549">
        <v>2023</v>
      </c>
    </row>
    <row r="1550" spans="16:17">
      <c r="P1550" t="s">
        <v>1928</v>
      </c>
      <c r="Q1550">
        <v>2023</v>
      </c>
    </row>
    <row r="1551" spans="16:17">
      <c r="P1551" t="s">
        <v>2085</v>
      </c>
      <c r="Q1551">
        <v>2023</v>
      </c>
    </row>
    <row r="1552" spans="16:17">
      <c r="P1552" t="s">
        <v>227</v>
      </c>
      <c r="Q1552">
        <v>2023</v>
      </c>
    </row>
    <row r="1553" spans="16:17">
      <c r="P1553" t="s">
        <v>1559</v>
      </c>
      <c r="Q1553">
        <v>2023</v>
      </c>
    </row>
    <row r="1554" spans="16:17">
      <c r="P1554" t="s">
        <v>489</v>
      </c>
      <c r="Q1554">
        <v>2023</v>
      </c>
    </row>
    <row r="1555" spans="16:17">
      <c r="P1555" t="s">
        <v>241</v>
      </c>
      <c r="Q1555">
        <v>2023</v>
      </c>
    </row>
    <row r="1556" spans="16:17">
      <c r="P1556" t="s">
        <v>307</v>
      </c>
      <c r="Q1556">
        <v>2023</v>
      </c>
    </row>
    <row r="1557" spans="16:17">
      <c r="P1557" t="s">
        <v>1044</v>
      </c>
      <c r="Q1557">
        <v>2023</v>
      </c>
    </row>
    <row r="1558" spans="16:17">
      <c r="P1558" t="s">
        <v>1616</v>
      </c>
      <c r="Q1558">
        <v>2023</v>
      </c>
    </row>
    <row r="1559" spans="16:17">
      <c r="P1559" t="s">
        <v>744</v>
      </c>
      <c r="Q1559">
        <v>2023</v>
      </c>
    </row>
    <row r="1560" spans="16:17">
      <c r="P1560" t="s">
        <v>2575</v>
      </c>
      <c r="Q1560">
        <v>2023</v>
      </c>
    </row>
    <row r="1561" spans="16:17">
      <c r="P1561" t="s">
        <v>1540</v>
      </c>
      <c r="Q1561">
        <v>2023</v>
      </c>
    </row>
    <row r="1562" spans="16:17">
      <c r="P1562" t="s">
        <v>2321</v>
      </c>
      <c r="Q1562">
        <v>2023</v>
      </c>
    </row>
    <row r="1563" spans="16:17">
      <c r="P1563" t="s">
        <v>975</v>
      </c>
      <c r="Q1563">
        <v>2023</v>
      </c>
    </row>
    <row r="1564" spans="16:17">
      <c r="P1564" t="s">
        <v>1674</v>
      </c>
      <c r="Q1564">
        <v>2023</v>
      </c>
    </row>
    <row r="1565" spans="16:17">
      <c r="P1565" t="s">
        <v>1824</v>
      </c>
      <c r="Q1565">
        <v>2023</v>
      </c>
    </row>
    <row r="1566" spans="16:17">
      <c r="P1566" t="s">
        <v>1645</v>
      </c>
      <c r="Q1566">
        <v>2023</v>
      </c>
    </row>
    <row r="1567" spans="16:17">
      <c r="P1567" t="s">
        <v>2380</v>
      </c>
      <c r="Q1567">
        <v>2023</v>
      </c>
    </row>
    <row r="1568" spans="16:17">
      <c r="P1568" t="s">
        <v>1499</v>
      </c>
      <c r="Q1568">
        <v>2023</v>
      </c>
    </row>
    <row r="1569" spans="16:17">
      <c r="P1569" t="s">
        <v>412</v>
      </c>
      <c r="Q1569">
        <v>2023</v>
      </c>
    </row>
    <row r="1570" spans="16:17">
      <c r="P1570" t="s">
        <v>357</v>
      </c>
      <c r="Q1570">
        <v>2023</v>
      </c>
    </row>
    <row r="1571" spans="16:17">
      <c r="P1571" t="s">
        <v>2580</v>
      </c>
      <c r="Q1571">
        <v>2023</v>
      </c>
    </row>
    <row r="1572" spans="16:17">
      <c r="P1572" t="s">
        <v>2582</v>
      </c>
      <c r="Q1572">
        <v>2023</v>
      </c>
    </row>
    <row r="1573" spans="16:17">
      <c r="P1573" t="s">
        <v>1783</v>
      </c>
      <c r="Q1573">
        <v>2023</v>
      </c>
    </row>
    <row r="1574" spans="16:17">
      <c r="P1574" t="s">
        <v>1095</v>
      </c>
      <c r="Q1574">
        <v>2023</v>
      </c>
    </row>
    <row r="1575" spans="16:17">
      <c r="P1575" t="s">
        <v>880</v>
      </c>
      <c r="Q1575">
        <v>2023</v>
      </c>
    </row>
    <row r="1576" spans="16:17">
      <c r="P1576" t="s">
        <v>1165</v>
      </c>
      <c r="Q1576">
        <v>2023</v>
      </c>
    </row>
    <row r="1577" spans="16:17">
      <c r="P1577" t="s">
        <v>1964</v>
      </c>
      <c r="Q1577">
        <v>2023</v>
      </c>
    </row>
    <row r="1578" spans="16:17">
      <c r="P1578" t="s">
        <v>980</v>
      </c>
      <c r="Q1578">
        <v>2023</v>
      </c>
    </row>
    <row r="1579" spans="16:17">
      <c r="P1579" t="s">
        <v>1454</v>
      </c>
      <c r="Q1579">
        <v>2023</v>
      </c>
    </row>
    <row r="1580" spans="16:17">
      <c r="P1580" t="s">
        <v>927</v>
      </c>
      <c r="Q1580">
        <v>2023</v>
      </c>
    </row>
    <row r="1581" spans="16:17">
      <c r="P1581" t="s">
        <v>1377</v>
      </c>
      <c r="Q1581">
        <v>2023</v>
      </c>
    </row>
    <row r="1582" spans="16:17">
      <c r="P1582" t="s">
        <v>1213</v>
      </c>
      <c r="Q1582">
        <v>2023</v>
      </c>
    </row>
    <row r="1583" spans="16:17">
      <c r="P1583" t="s">
        <v>169</v>
      </c>
      <c r="Q1583">
        <v>2023</v>
      </c>
    </row>
    <row r="1584" spans="16:17">
      <c r="P1584" t="s">
        <v>999</v>
      </c>
      <c r="Q1584">
        <v>2023</v>
      </c>
    </row>
    <row r="1585" spans="16:17">
      <c r="P1585" t="s">
        <v>1469</v>
      </c>
      <c r="Q1585">
        <v>2023</v>
      </c>
    </row>
    <row r="1586" spans="16:17">
      <c r="P1586" t="s">
        <v>632</v>
      </c>
      <c r="Q1586">
        <v>2023</v>
      </c>
    </row>
    <row r="1587" spans="16:17">
      <c r="P1587" t="s">
        <v>1729</v>
      </c>
      <c r="Q1587">
        <v>2023</v>
      </c>
    </row>
    <row r="1588" spans="16:17">
      <c r="P1588" t="s">
        <v>947</v>
      </c>
      <c r="Q1588">
        <v>2023</v>
      </c>
    </row>
    <row r="1589" spans="16:17">
      <c r="P1589" t="s">
        <v>1778</v>
      </c>
      <c r="Q1589">
        <v>2023</v>
      </c>
    </row>
    <row r="1590" spans="16:17">
      <c r="P1590" t="s">
        <v>1303</v>
      </c>
      <c r="Q1590">
        <v>2023</v>
      </c>
    </row>
    <row r="1591" spans="16:17">
      <c r="P1591" t="s">
        <v>2586</v>
      </c>
      <c r="Q1591">
        <v>2023</v>
      </c>
    </row>
    <row r="1592" spans="16:17">
      <c r="P1592" t="s">
        <v>1147</v>
      </c>
      <c r="Q1592">
        <v>2023</v>
      </c>
    </row>
    <row r="1593" spans="16:17">
      <c r="P1593" t="s">
        <v>2273</v>
      </c>
      <c r="Q1593">
        <v>2023</v>
      </c>
    </row>
    <row r="1594" spans="16:17">
      <c r="P1594" t="s">
        <v>1523</v>
      </c>
      <c r="Q1594">
        <v>2023</v>
      </c>
    </row>
    <row r="1595" spans="16:17">
      <c r="P1595" t="s">
        <v>184</v>
      </c>
      <c r="Q1595">
        <v>2023</v>
      </c>
    </row>
    <row r="1596" spans="16:17">
      <c r="P1596" t="s">
        <v>1090</v>
      </c>
      <c r="Q1596">
        <v>2023</v>
      </c>
    </row>
    <row r="1597" spans="16:17">
      <c r="P1597" t="s">
        <v>714</v>
      </c>
      <c r="Q1597">
        <v>2023</v>
      </c>
    </row>
    <row r="1598" spans="16:17">
      <c r="P1598" t="s">
        <v>1491</v>
      </c>
      <c r="Q1598">
        <v>2023</v>
      </c>
    </row>
    <row r="1599" spans="16:17">
      <c r="P1599" t="s">
        <v>507</v>
      </c>
      <c r="Q1599">
        <v>2023</v>
      </c>
    </row>
    <row r="1600" spans="16:17">
      <c r="P1600" t="s">
        <v>426</v>
      </c>
      <c r="Q1600">
        <v>2023</v>
      </c>
    </row>
    <row r="1601" spans="16:17">
      <c r="P1601" t="s">
        <v>1025</v>
      </c>
      <c r="Q1601">
        <v>2023</v>
      </c>
    </row>
    <row r="1602" spans="16:17">
      <c r="P1602" t="s">
        <v>1546</v>
      </c>
      <c r="Q1602">
        <v>2023</v>
      </c>
    </row>
    <row r="1603" spans="16:17">
      <c r="P1603" t="s">
        <v>1678</v>
      </c>
      <c r="Q1603">
        <v>2023</v>
      </c>
    </row>
    <row r="1604" spans="16:17">
      <c r="P1604" t="s">
        <v>673</v>
      </c>
      <c r="Q1604">
        <v>2023</v>
      </c>
    </row>
    <row r="1605" spans="16:17">
      <c r="P1605" t="s">
        <v>2587</v>
      </c>
      <c r="Q1605">
        <v>2023</v>
      </c>
    </row>
    <row r="1606" spans="16:17">
      <c r="P1606" t="s">
        <v>904</v>
      </c>
      <c r="Q1606">
        <v>2023</v>
      </c>
    </row>
    <row r="1607" spans="16:17">
      <c r="P1607" t="s">
        <v>1133</v>
      </c>
      <c r="Q1607">
        <v>2023</v>
      </c>
    </row>
    <row r="1608" spans="16:17">
      <c r="P1608" t="s">
        <v>1040</v>
      </c>
      <c r="Q1608">
        <v>2023</v>
      </c>
    </row>
    <row r="1609" spans="16:17">
      <c r="P1609" t="s">
        <v>959</v>
      </c>
      <c r="Q1609">
        <v>2023</v>
      </c>
    </row>
    <row r="1610" spans="16:17">
      <c r="P1610" t="s">
        <v>111</v>
      </c>
      <c r="Q1610">
        <v>2023</v>
      </c>
    </row>
    <row r="1611" spans="16:17">
      <c r="P1611" t="s">
        <v>2066</v>
      </c>
      <c r="Q1611">
        <v>2023</v>
      </c>
    </row>
    <row r="1612" spans="16:17">
      <c r="P1612" t="s">
        <v>1787</v>
      </c>
      <c r="Q1612">
        <v>2023</v>
      </c>
    </row>
    <row r="1613" spans="16:17">
      <c r="P1613" t="s">
        <v>1743</v>
      </c>
      <c r="Q1613">
        <v>2023</v>
      </c>
    </row>
    <row r="1614" spans="16:17">
      <c r="P1614" t="s">
        <v>1066</v>
      </c>
      <c r="Q1614">
        <v>2023</v>
      </c>
    </row>
    <row r="1615" spans="16:17">
      <c r="P1615" t="s">
        <v>2367</v>
      </c>
      <c r="Q1615">
        <v>2023</v>
      </c>
    </row>
    <row r="1616" spans="16:17">
      <c r="P1616" t="s">
        <v>2250</v>
      </c>
      <c r="Q1616">
        <v>2023</v>
      </c>
    </row>
    <row r="1617" spans="16:17">
      <c r="P1617" t="s">
        <v>1548</v>
      </c>
      <c r="Q1617">
        <v>2023</v>
      </c>
    </row>
    <row r="1618" spans="16:17">
      <c r="P1618" t="s">
        <v>378</v>
      </c>
      <c r="Q1618">
        <v>2023</v>
      </c>
    </row>
    <row r="1619" spans="16:17">
      <c r="P1619" t="s">
        <v>1322</v>
      </c>
      <c r="Q1619">
        <v>2023</v>
      </c>
    </row>
    <row r="1620" spans="16:17">
      <c r="P1620" t="s">
        <v>564</v>
      </c>
      <c r="Q1620">
        <v>2023</v>
      </c>
    </row>
    <row r="1621" spans="16:17">
      <c r="P1621" t="s">
        <v>1225</v>
      </c>
      <c r="Q1621">
        <v>2023</v>
      </c>
    </row>
    <row r="1622" spans="16:17">
      <c r="P1622" t="s">
        <v>1284</v>
      </c>
      <c r="Q1622">
        <v>2023</v>
      </c>
    </row>
    <row r="1623" spans="16:17">
      <c r="P1623" t="s">
        <v>1947</v>
      </c>
      <c r="Q1623">
        <v>2023</v>
      </c>
    </row>
    <row r="1624" spans="16:17">
      <c r="P1624" t="s">
        <v>1236</v>
      </c>
      <c r="Q1624">
        <v>2023</v>
      </c>
    </row>
    <row r="1625" spans="16:17">
      <c r="P1625" t="s">
        <v>448</v>
      </c>
      <c r="Q1625">
        <v>2023</v>
      </c>
    </row>
    <row r="1626" spans="16:17">
      <c r="P1626" t="s">
        <v>2382</v>
      </c>
      <c r="Q1626">
        <v>2023</v>
      </c>
    </row>
    <row r="1627" spans="16:17">
      <c r="P1627" t="s">
        <v>396</v>
      </c>
      <c r="Q1627">
        <v>2023</v>
      </c>
    </row>
    <row r="1628" spans="16:17">
      <c r="P1628" t="s">
        <v>87</v>
      </c>
      <c r="Q1628">
        <v>2023</v>
      </c>
    </row>
    <row r="1629" spans="16:17">
      <c r="P1629" t="s">
        <v>127</v>
      </c>
      <c r="Q1629">
        <v>2023</v>
      </c>
    </row>
    <row r="1630" spans="16:17">
      <c r="P1630" t="s">
        <v>199</v>
      </c>
      <c r="Q1630">
        <v>2023</v>
      </c>
    </row>
    <row r="1631" spans="16:17">
      <c r="P1631" t="s">
        <v>150</v>
      </c>
      <c r="Q1631">
        <v>2023</v>
      </c>
    </row>
    <row r="1632" spans="16:17">
      <c r="P1632" t="s">
        <v>1104</v>
      </c>
      <c r="Q1632">
        <v>2023</v>
      </c>
    </row>
    <row r="1633" spans="16:17">
      <c r="P1633" t="s">
        <v>914</v>
      </c>
      <c r="Q1633">
        <v>2023</v>
      </c>
    </row>
    <row r="1634" spans="16:17">
      <c r="P1634" t="s">
        <v>1281</v>
      </c>
      <c r="Q1634">
        <v>2023</v>
      </c>
    </row>
    <row r="1635" spans="16:17">
      <c r="P1635" t="s">
        <v>1573</v>
      </c>
      <c r="Q1635">
        <v>2023</v>
      </c>
    </row>
    <row r="1636" spans="16:17">
      <c r="P1636" t="s">
        <v>1973</v>
      </c>
      <c r="Q1636">
        <v>2023</v>
      </c>
    </row>
    <row r="1637" spans="16:17">
      <c r="P1637" t="s">
        <v>2409</v>
      </c>
      <c r="Q1637">
        <v>2023</v>
      </c>
    </row>
    <row r="1638" spans="16:17">
      <c r="P1638" t="s">
        <v>1716</v>
      </c>
      <c r="Q1638">
        <v>2023</v>
      </c>
    </row>
    <row r="1639" spans="16:17">
      <c r="P1639" t="s">
        <v>1180</v>
      </c>
      <c r="Q1639">
        <v>2023</v>
      </c>
    </row>
    <row r="1640" spans="16:17">
      <c r="P1640" t="s">
        <v>222</v>
      </c>
      <c r="Q1640">
        <v>2023</v>
      </c>
    </row>
    <row r="1641" spans="16:17">
      <c r="P1641" t="s">
        <v>1131</v>
      </c>
      <c r="Q1641">
        <v>2023</v>
      </c>
    </row>
    <row r="1642" spans="16:17">
      <c r="P1642" t="s">
        <v>2178</v>
      </c>
      <c r="Q1642">
        <v>2023</v>
      </c>
    </row>
    <row r="1643" spans="16:17">
      <c r="P1643" t="s">
        <v>279</v>
      </c>
      <c r="Q1643">
        <v>2023</v>
      </c>
    </row>
    <row r="1644" spans="16:17">
      <c r="P1644" t="s">
        <v>861</v>
      </c>
      <c r="Q1644">
        <v>2023</v>
      </c>
    </row>
    <row r="1645" spans="16:17">
      <c r="P1645" t="s">
        <v>2310</v>
      </c>
      <c r="Q1645">
        <v>2023</v>
      </c>
    </row>
    <row r="1646" spans="16:17">
      <c r="P1646" t="s">
        <v>626</v>
      </c>
      <c r="Q1646">
        <v>2023</v>
      </c>
    </row>
    <row r="1647" spans="16:17">
      <c r="P1647" t="s">
        <v>2019</v>
      </c>
      <c r="Q1647">
        <v>2023</v>
      </c>
    </row>
    <row r="1648" spans="16:17">
      <c r="P1648" t="s">
        <v>1166</v>
      </c>
      <c r="Q1648">
        <v>2023</v>
      </c>
    </row>
    <row r="1649" spans="16:17">
      <c r="P1649" t="s">
        <v>666</v>
      </c>
      <c r="Q1649">
        <v>2023</v>
      </c>
    </row>
    <row r="1650" spans="16:17">
      <c r="P1650" t="s">
        <v>1637</v>
      </c>
      <c r="Q1650">
        <v>2023</v>
      </c>
    </row>
    <row r="1651" spans="16:17">
      <c r="P1651" t="s">
        <v>1513</v>
      </c>
      <c r="Q1651">
        <v>2023</v>
      </c>
    </row>
    <row r="1652" spans="16:17">
      <c r="P1652" t="s">
        <v>1396</v>
      </c>
      <c r="Q1652">
        <v>2023</v>
      </c>
    </row>
    <row r="1653" spans="16:17">
      <c r="P1653" t="s">
        <v>759</v>
      </c>
      <c r="Q1653">
        <v>2023</v>
      </c>
    </row>
    <row r="1654" spans="16:17">
      <c r="P1654" t="s">
        <v>394</v>
      </c>
      <c r="Q1654">
        <v>2023</v>
      </c>
    </row>
    <row r="1655" spans="16:17">
      <c r="P1655" t="s">
        <v>83</v>
      </c>
      <c r="Q1655">
        <v>2023</v>
      </c>
    </row>
    <row r="1656" spans="16:17">
      <c r="P1656" t="s">
        <v>375</v>
      </c>
      <c r="Q1656">
        <v>2023</v>
      </c>
    </row>
    <row r="1657" spans="16:17">
      <c r="P1657" t="s">
        <v>2279</v>
      </c>
      <c r="Q1657">
        <v>2023</v>
      </c>
    </row>
    <row r="1658" spans="16:17">
      <c r="P1658" t="s">
        <v>1530</v>
      </c>
      <c r="Q1658">
        <v>2023</v>
      </c>
    </row>
    <row r="1659" spans="16:17">
      <c r="P1659" t="s">
        <v>738</v>
      </c>
      <c r="Q1659">
        <v>2023</v>
      </c>
    </row>
    <row r="1660" spans="16:17">
      <c r="P1660" t="s">
        <v>2050</v>
      </c>
      <c r="Q1660">
        <v>2023</v>
      </c>
    </row>
    <row r="1661" spans="16:17">
      <c r="P1661" t="s">
        <v>133</v>
      </c>
      <c r="Q1661">
        <v>2023</v>
      </c>
    </row>
    <row r="1662" spans="16:17">
      <c r="P1662" t="s">
        <v>485</v>
      </c>
      <c r="Q1662">
        <v>2023</v>
      </c>
    </row>
    <row r="1663" spans="16:17">
      <c r="P1663" t="s">
        <v>460</v>
      </c>
      <c r="Q1663">
        <v>2023</v>
      </c>
    </row>
    <row r="1664" spans="16:17">
      <c r="P1664" t="s">
        <v>889</v>
      </c>
      <c r="Q1664">
        <v>2023</v>
      </c>
    </row>
    <row r="1665" spans="16:17">
      <c r="P1665" t="s">
        <v>2015</v>
      </c>
      <c r="Q1665">
        <v>2023</v>
      </c>
    </row>
    <row r="1666" spans="16:17">
      <c r="P1666" t="s">
        <v>1536</v>
      </c>
      <c r="Q1666">
        <v>2023</v>
      </c>
    </row>
    <row r="1667" spans="16:17">
      <c r="P1667" t="s">
        <v>1046</v>
      </c>
      <c r="Q1667">
        <v>2023</v>
      </c>
    </row>
    <row r="1668" spans="16:17">
      <c r="P1668" t="s">
        <v>270</v>
      </c>
      <c r="Q1668">
        <v>2023</v>
      </c>
    </row>
    <row r="1669" spans="16:17">
      <c r="P1669" t="s">
        <v>819</v>
      </c>
      <c r="Q1669">
        <v>2023</v>
      </c>
    </row>
    <row r="1670" spans="16:17">
      <c r="P1670" t="s">
        <v>891</v>
      </c>
      <c r="Q1670">
        <v>2023</v>
      </c>
    </row>
    <row r="1671" spans="16:17">
      <c r="P1671" t="s">
        <v>1620</v>
      </c>
      <c r="Q1671">
        <v>2023</v>
      </c>
    </row>
    <row r="1672" spans="16:17">
      <c r="P1672" t="s">
        <v>554</v>
      </c>
      <c r="Q1672">
        <v>2023</v>
      </c>
    </row>
    <row r="1673" spans="16:17">
      <c r="P1673" t="s">
        <v>243</v>
      </c>
      <c r="Q1673">
        <v>2023</v>
      </c>
    </row>
    <row r="1674" spans="16:17">
      <c r="P1674" t="s">
        <v>447</v>
      </c>
      <c r="Q1674">
        <v>2023</v>
      </c>
    </row>
    <row r="1675" spans="16:17">
      <c r="P1675" t="s">
        <v>1815</v>
      </c>
      <c r="Q1675">
        <v>2023</v>
      </c>
    </row>
    <row r="1676" spans="16:17">
      <c r="P1676" t="s">
        <v>808</v>
      </c>
      <c r="Q1676">
        <v>2023</v>
      </c>
    </row>
    <row r="1677" spans="16:17">
      <c r="P1677" t="s">
        <v>235</v>
      </c>
      <c r="Q1677">
        <v>2023</v>
      </c>
    </row>
    <row r="1678" spans="16:17">
      <c r="P1678" t="s">
        <v>1232</v>
      </c>
      <c r="Q1678">
        <v>2023</v>
      </c>
    </row>
    <row r="1679" spans="16:17">
      <c r="P1679" t="s">
        <v>925</v>
      </c>
      <c r="Q1679">
        <v>2023</v>
      </c>
    </row>
    <row r="1680" spans="16:17">
      <c r="P1680" t="s">
        <v>2128</v>
      </c>
      <c r="Q1680">
        <v>2023</v>
      </c>
    </row>
    <row r="1681" spans="16:17">
      <c r="P1681" t="s">
        <v>1707</v>
      </c>
      <c r="Q1681">
        <v>2023</v>
      </c>
    </row>
    <row r="1682" spans="16:17">
      <c r="P1682" t="s">
        <v>1618</v>
      </c>
      <c r="Q1682">
        <v>2023</v>
      </c>
    </row>
    <row r="1683" spans="16:17">
      <c r="P1683" t="s">
        <v>1918</v>
      </c>
      <c r="Q1683">
        <v>2023</v>
      </c>
    </row>
    <row r="1684" spans="16:17">
      <c r="P1684" t="s">
        <v>940</v>
      </c>
      <c r="Q1684">
        <v>2023</v>
      </c>
    </row>
    <row r="1685" spans="16:17">
      <c r="P1685" t="s">
        <v>2192</v>
      </c>
      <c r="Q1685">
        <v>2023</v>
      </c>
    </row>
    <row r="1686" spans="16:17">
      <c r="P1686" t="s">
        <v>1578</v>
      </c>
      <c r="Q1686">
        <v>2023</v>
      </c>
    </row>
    <row r="1687" spans="16:17">
      <c r="P1687" t="s">
        <v>624</v>
      </c>
      <c r="Q1687">
        <v>2023</v>
      </c>
    </row>
    <row r="1688" spans="16:17">
      <c r="P1688" t="s">
        <v>1933</v>
      </c>
      <c r="Q1688">
        <v>2023</v>
      </c>
    </row>
    <row r="1689" spans="16:17">
      <c r="P1689" t="s">
        <v>400</v>
      </c>
      <c r="Q1689">
        <v>2023</v>
      </c>
    </row>
    <row r="1690" spans="16:17">
      <c r="P1690" t="s">
        <v>52</v>
      </c>
      <c r="Q1690">
        <v>2023</v>
      </c>
    </row>
    <row r="1691" spans="16:17">
      <c r="P1691" t="s">
        <v>2114</v>
      </c>
      <c r="Q1691">
        <v>2023</v>
      </c>
    </row>
    <row r="1692" spans="16:17">
      <c r="P1692" t="s">
        <v>833</v>
      </c>
      <c r="Q1692">
        <v>2023</v>
      </c>
    </row>
    <row r="1693" spans="16:17">
      <c r="P1693" t="s">
        <v>1965</v>
      </c>
      <c r="Q1693">
        <v>2023</v>
      </c>
    </row>
    <row r="1694" spans="16:17">
      <c r="P1694" t="s">
        <v>859</v>
      </c>
      <c r="Q1694">
        <v>2023</v>
      </c>
    </row>
    <row r="1695" spans="16:17">
      <c r="P1695" t="s">
        <v>2407</v>
      </c>
      <c r="Q1695">
        <v>2023</v>
      </c>
    </row>
    <row r="1696" spans="16:17">
      <c r="P1696" t="s">
        <v>1415</v>
      </c>
      <c r="Q1696">
        <v>2023</v>
      </c>
    </row>
    <row r="1697" spans="16:17">
      <c r="P1697" t="s">
        <v>2035</v>
      </c>
      <c r="Q1697">
        <v>2023</v>
      </c>
    </row>
    <row r="1698" spans="16:17">
      <c r="P1698" t="s">
        <v>2328</v>
      </c>
      <c r="Q1698">
        <v>2023</v>
      </c>
    </row>
    <row r="1699" spans="16:17">
      <c r="P1699" t="s">
        <v>917</v>
      </c>
      <c r="Q1699">
        <v>2023</v>
      </c>
    </row>
    <row r="1700" spans="16:17">
      <c r="P1700" t="s">
        <v>1521</v>
      </c>
      <c r="Q1700">
        <v>2023</v>
      </c>
    </row>
    <row r="1701" spans="16:17">
      <c r="P1701" t="s">
        <v>609</v>
      </c>
      <c r="Q1701">
        <v>2023</v>
      </c>
    </row>
    <row r="1702" spans="16:17">
      <c r="P1702" t="s">
        <v>2348</v>
      </c>
      <c r="Q1702">
        <v>2023</v>
      </c>
    </row>
    <row r="1703" spans="16:17">
      <c r="P1703" t="s">
        <v>161</v>
      </c>
      <c r="Q1703">
        <v>2023</v>
      </c>
    </row>
    <row r="1704" spans="16:17">
      <c r="P1704" t="s">
        <v>2117</v>
      </c>
      <c r="Q1704">
        <v>2023</v>
      </c>
    </row>
    <row r="1705" spans="16:17">
      <c r="P1705" t="s">
        <v>1029</v>
      </c>
      <c r="Q1705">
        <v>2023</v>
      </c>
    </row>
    <row r="1706" spans="16:17">
      <c r="P1706" t="s">
        <v>1888</v>
      </c>
      <c r="Q1706">
        <v>2023</v>
      </c>
    </row>
    <row r="1707" spans="16:17">
      <c r="P1707" t="s">
        <v>2616</v>
      </c>
      <c r="Q1707">
        <v>2023</v>
      </c>
    </row>
    <row r="1708" spans="16:17">
      <c r="P1708" t="s">
        <v>661</v>
      </c>
      <c r="Q1708">
        <v>2023</v>
      </c>
    </row>
    <row r="1709" spans="16:17">
      <c r="P1709" t="s">
        <v>1564</v>
      </c>
      <c r="Q1709">
        <v>2023</v>
      </c>
    </row>
    <row r="1710" spans="16:17">
      <c r="P1710" t="s">
        <v>1099</v>
      </c>
      <c r="Q1710">
        <v>2023</v>
      </c>
    </row>
    <row r="1711" spans="16:17">
      <c r="P1711" t="s">
        <v>251</v>
      </c>
      <c r="Q1711">
        <v>2023</v>
      </c>
    </row>
    <row r="1712" spans="16:17">
      <c r="P1712" t="s">
        <v>1953</v>
      </c>
      <c r="Q1712">
        <v>2023</v>
      </c>
    </row>
    <row r="1713" spans="16:17">
      <c r="P1713" t="s">
        <v>790</v>
      </c>
      <c r="Q1713">
        <v>2023</v>
      </c>
    </row>
    <row r="1714" spans="16:17">
      <c r="P1714" t="s">
        <v>1115</v>
      </c>
      <c r="Q1714">
        <v>2023</v>
      </c>
    </row>
    <row r="1715" spans="16:17">
      <c r="P1715" t="s">
        <v>676</v>
      </c>
      <c r="Q1715">
        <v>2023</v>
      </c>
    </row>
    <row r="1716" spans="16:17">
      <c r="P1716" t="s">
        <v>870</v>
      </c>
      <c r="Q1716">
        <v>2023</v>
      </c>
    </row>
    <row r="1717" spans="16:17">
      <c r="P1717" t="s">
        <v>2164</v>
      </c>
      <c r="Q1717">
        <v>2023</v>
      </c>
    </row>
    <row r="1718" spans="16:17">
      <c r="P1718" t="s">
        <v>497</v>
      </c>
      <c r="Q1718">
        <v>2023</v>
      </c>
    </row>
    <row r="1719" spans="16:17">
      <c r="P1719" t="s">
        <v>2214</v>
      </c>
      <c r="Q1719">
        <v>2023</v>
      </c>
    </row>
    <row r="1720" spans="16:17">
      <c r="P1720" t="s">
        <v>811</v>
      </c>
      <c r="Q1720">
        <v>2023</v>
      </c>
    </row>
    <row r="1721" spans="16:17">
      <c r="P1721" t="s">
        <v>1504</v>
      </c>
      <c r="Q1721">
        <v>2023</v>
      </c>
    </row>
    <row r="1722" spans="16:17">
      <c r="P1722" t="s">
        <v>850</v>
      </c>
      <c r="Q1722">
        <v>2023</v>
      </c>
    </row>
    <row r="1723" spans="16:17">
      <c r="P1723" t="s">
        <v>1243</v>
      </c>
      <c r="Q1723">
        <v>2023</v>
      </c>
    </row>
    <row r="1724" spans="16:17">
      <c r="P1724" t="s">
        <v>805</v>
      </c>
      <c r="Q1724">
        <v>2023</v>
      </c>
    </row>
    <row r="1725" spans="16:17">
      <c r="P1725" t="s">
        <v>1340</v>
      </c>
      <c r="Q1725">
        <v>2023</v>
      </c>
    </row>
    <row r="1726" spans="16:17">
      <c r="P1726" t="s">
        <v>1410</v>
      </c>
      <c r="Q1726">
        <v>2023</v>
      </c>
    </row>
    <row r="1727" spans="16:17">
      <c r="P1727" t="s">
        <v>1277</v>
      </c>
      <c r="Q1727">
        <v>2023</v>
      </c>
    </row>
    <row r="1728" spans="16:17">
      <c r="P1728" t="s">
        <v>2181</v>
      </c>
      <c r="Q1728">
        <v>2023</v>
      </c>
    </row>
    <row r="1729" spans="16:17">
      <c r="P1729" t="s">
        <v>1813</v>
      </c>
      <c r="Q1729">
        <v>2023</v>
      </c>
    </row>
    <row r="1730" spans="16:17">
      <c r="P1730" t="s">
        <v>906</v>
      </c>
      <c r="Q1730">
        <v>2023</v>
      </c>
    </row>
    <row r="1731" spans="16:17">
      <c r="P1731" t="s">
        <v>2288</v>
      </c>
      <c r="Q1731">
        <v>2023</v>
      </c>
    </row>
    <row r="1732" spans="16:17">
      <c r="P1732" t="s">
        <v>1873</v>
      </c>
      <c r="Q1732">
        <v>2023</v>
      </c>
    </row>
    <row r="1733" spans="16:17">
      <c r="P1733" t="s">
        <v>1858</v>
      </c>
      <c r="Q1733">
        <v>2023</v>
      </c>
    </row>
    <row r="1734" spans="16:17">
      <c r="P1734" t="s">
        <v>645</v>
      </c>
      <c r="Q1734">
        <v>2023</v>
      </c>
    </row>
    <row r="1735" spans="16:17">
      <c r="P1735" t="s">
        <v>2149</v>
      </c>
      <c r="Q1735">
        <v>2023</v>
      </c>
    </row>
    <row r="1736" spans="16:17">
      <c r="P1736" t="s">
        <v>589</v>
      </c>
      <c r="Q1736">
        <v>2023</v>
      </c>
    </row>
    <row r="1737" spans="16:17">
      <c r="P1737" t="s">
        <v>212</v>
      </c>
      <c r="Q1737">
        <v>2023</v>
      </c>
    </row>
    <row r="1738" spans="16:17">
      <c r="P1738" t="s">
        <v>277</v>
      </c>
      <c r="Q1738">
        <v>2023</v>
      </c>
    </row>
    <row r="1739" spans="16:17">
      <c r="P1739" t="s">
        <v>2105</v>
      </c>
      <c r="Q1739">
        <v>2023</v>
      </c>
    </row>
    <row r="1740" spans="16:17">
      <c r="P1740" t="s">
        <v>1053</v>
      </c>
      <c r="Q1740">
        <v>2023</v>
      </c>
    </row>
    <row r="1741" spans="16:17">
      <c r="P1741" t="s">
        <v>873</v>
      </c>
      <c r="Q1741">
        <v>2023</v>
      </c>
    </row>
    <row r="1742" spans="16:17">
      <c r="P1742" t="s">
        <v>2626</v>
      </c>
      <c r="Q1742">
        <v>2023</v>
      </c>
    </row>
    <row r="1743" spans="16:17">
      <c r="P1743" t="s">
        <v>2627</v>
      </c>
      <c r="Q1743">
        <v>2023</v>
      </c>
    </row>
    <row r="1744" spans="16:17">
      <c r="P1744" t="s">
        <v>2629</v>
      </c>
      <c r="Q1744">
        <v>2023</v>
      </c>
    </row>
    <row r="1745" spans="16:17">
      <c r="P1745" t="s">
        <v>1086</v>
      </c>
      <c r="Q1745">
        <v>2023</v>
      </c>
    </row>
    <row r="1746" spans="16:17">
      <c r="P1746" t="s">
        <v>1576</v>
      </c>
      <c r="Q1746">
        <v>2023</v>
      </c>
    </row>
    <row r="1747" spans="16:17">
      <c r="P1747" t="s">
        <v>639</v>
      </c>
      <c r="Q1747">
        <v>2023</v>
      </c>
    </row>
    <row r="1748" spans="16:17">
      <c r="P1748" t="s">
        <v>246</v>
      </c>
      <c r="Q1748">
        <v>2023</v>
      </c>
    </row>
    <row r="1749" spans="16:17">
      <c r="P1749" t="s">
        <v>2398</v>
      </c>
      <c r="Q1749">
        <v>2023</v>
      </c>
    </row>
    <row r="1750" spans="16:17">
      <c r="P1750" t="s">
        <v>1169</v>
      </c>
      <c r="Q1750">
        <v>2023</v>
      </c>
    </row>
    <row r="1751" spans="16:17">
      <c r="P1751" t="s">
        <v>549</v>
      </c>
      <c r="Q1751">
        <v>2023</v>
      </c>
    </row>
    <row r="1752" spans="16:17">
      <c r="P1752" t="s">
        <v>92</v>
      </c>
      <c r="Q1752">
        <v>2023</v>
      </c>
    </row>
    <row r="1753" spans="16:17">
      <c r="P1753" t="s">
        <v>961</v>
      </c>
      <c r="Q1753">
        <v>2023</v>
      </c>
    </row>
    <row r="1754" spans="16:17">
      <c r="P1754" t="s">
        <v>348</v>
      </c>
      <c r="Q1754">
        <v>2023</v>
      </c>
    </row>
    <row r="1755" spans="16:17">
      <c r="P1755" t="s">
        <v>1200</v>
      </c>
      <c r="Q1755">
        <v>2023</v>
      </c>
    </row>
    <row r="1756" spans="16:17">
      <c r="P1756" t="s">
        <v>1329</v>
      </c>
      <c r="Q1756">
        <v>2023</v>
      </c>
    </row>
    <row r="1757" spans="16:17">
      <c r="P1757" t="s">
        <v>439</v>
      </c>
      <c r="Q1757">
        <v>2023</v>
      </c>
    </row>
    <row r="1758" spans="16:17">
      <c r="P1758" t="s">
        <v>1485</v>
      </c>
      <c r="Q1758">
        <v>2023</v>
      </c>
    </row>
    <row r="1759" spans="16:17">
      <c r="P1759" t="s">
        <v>1101</v>
      </c>
      <c r="Q1759">
        <v>2023</v>
      </c>
    </row>
    <row r="1760" spans="16:17">
      <c r="P1760" t="s">
        <v>419</v>
      </c>
      <c r="Q1760">
        <v>2023</v>
      </c>
    </row>
    <row r="1761" spans="16:17">
      <c r="P1761" t="s">
        <v>1701</v>
      </c>
      <c r="Q1761">
        <v>2023</v>
      </c>
    </row>
    <row r="1762" spans="16:17">
      <c r="P1762" t="s">
        <v>2633</v>
      </c>
      <c r="Q1762">
        <v>2023</v>
      </c>
    </row>
    <row r="1763" spans="16:17">
      <c r="P1763" t="s">
        <v>2634</v>
      </c>
      <c r="Q1763">
        <v>2023</v>
      </c>
    </row>
    <row r="1764" spans="16:17">
      <c r="P1764" t="s">
        <v>682</v>
      </c>
      <c r="Q1764">
        <v>2023</v>
      </c>
    </row>
    <row r="1765" spans="16:17">
      <c r="P1765" t="s">
        <v>1793</v>
      </c>
      <c r="Q1765">
        <v>2023</v>
      </c>
    </row>
    <row r="1766" spans="16:17">
      <c r="P1766" t="s">
        <v>1459</v>
      </c>
      <c r="Q1766">
        <v>2023</v>
      </c>
    </row>
    <row r="1767" spans="16:17">
      <c r="P1767" t="s">
        <v>937</v>
      </c>
      <c r="Q1767">
        <v>2023</v>
      </c>
    </row>
    <row r="1768" spans="16:17">
      <c r="P1768" t="s">
        <v>354</v>
      </c>
      <c r="Q1768">
        <v>2023</v>
      </c>
    </row>
    <row r="1769" spans="16:17">
      <c r="P1769" t="s">
        <v>2641</v>
      </c>
      <c r="Q1769">
        <v>2023</v>
      </c>
    </row>
    <row r="1770" spans="16:17">
      <c r="P1770" t="s">
        <v>56</v>
      </c>
      <c r="Q1770">
        <v>2023</v>
      </c>
    </row>
    <row r="1771" spans="16:17">
      <c r="P1771" t="s">
        <v>1011</v>
      </c>
      <c r="Q1771">
        <v>2023</v>
      </c>
    </row>
    <row r="1772" spans="16:17">
      <c r="P1772" t="s">
        <v>677</v>
      </c>
      <c r="Q1772">
        <v>2023</v>
      </c>
    </row>
    <row r="1773" spans="16:17">
      <c r="P1773" t="s">
        <v>1018</v>
      </c>
      <c r="Q1773">
        <v>2023</v>
      </c>
    </row>
    <row r="1774" spans="16:17">
      <c r="P1774" t="s">
        <v>1663</v>
      </c>
      <c r="Q1774">
        <v>2023</v>
      </c>
    </row>
    <row r="1775" spans="16:17">
      <c r="P1775" t="s">
        <v>256</v>
      </c>
      <c r="Q1775">
        <v>2023</v>
      </c>
    </row>
    <row r="1776" spans="16:17">
      <c r="P1776" t="s">
        <v>1497</v>
      </c>
      <c r="Q1776">
        <v>2023</v>
      </c>
    </row>
    <row r="1777" spans="16:17">
      <c r="P1777" t="s">
        <v>1803</v>
      </c>
      <c r="Q1777">
        <v>2023</v>
      </c>
    </row>
    <row r="1778" spans="16:17">
      <c r="P1778" t="s">
        <v>1625</v>
      </c>
      <c r="Q1778">
        <v>2023</v>
      </c>
    </row>
    <row r="1779" spans="16:17">
      <c r="P1779" t="s">
        <v>1480</v>
      </c>
      <c r="Q1779">
        <v>2023</v>
      </c>
    </row>
    <row r="1780" spans="16:17">
      <c r="P1780" t="s">
        <v>2315</v>
      </c>
      <c r="Q1780">
        <v>2023</v>
      </c>
    </row>
    <row r="1781" spans="16:17">
      <c r="P1781" t="s">
        <v>365</v>
      </c>
      <c r="Q1781">
        <v>2023</v>
      </c>
    </row>
    <row r="1782" spans="16:17">
      <c r="P1782" t="s">
        <v>740</v>
      </c>
      <c r="Q1782">
        <v>2023</v>
      </c>
    </row>
    <row r="1783" spans="16:17">
      <c r="P1783" t="s">
        <v>2643</v>
      </c>
      <c r="Q1783">
        <v>2023</v>
      </c>
    </row>
    <row r="1784" spans="16:17">
      <c r="P1784" t="s">
        <v>575</v>
      </c>
      <c r="Q1784">
        <v>2023</v>
      </c>
    </row>
    <row r="1785" spans="16:17">
      <c r="P1785" t="s">
        <v>403</v>
      </c>
      <c r="Q1785">
        <v>2023</v>
      </c>
    </row>
    <row r="1786" spans="16:17">
      <c r="P1786" t="s">
        <v>2284</v>
      </c>
      <c r="Q1786">
        <v>2023</v>
      </c>
    </row>
    <row r="1787" spans="16:17">
      <c r="P1787" t="s">
        <v>1251</v>
      </c>
      <c r="Q1787">
        <v>2023</v>
      </c>
    </row>
    <row r="1788" spans="16:17">
      <c r="P1788" t="s">
        <v>612</v>
      </c>
      <c r="Q1788">
        <v>2023</v>
      </c>
    </row>
    <row r="1789" spans="16:17">
      <c r="P1789" t="s">
        <v>1359</v>
      </c>
      <c r="Q1789">
        <v>2023</v>
      </c>
    </row>
    <row r="1790" spans="16:17">
      <c r="P1790" t="s">
        <v>881</v>
      </c>
      <c r="Q1790">
        <v>2023</v>
      </c>
    </row>
    <row r="1791" spans="16:17">
      <c r="P1791" t="s">
        <v>1802</v>
      </c>
      <c r="Q1791">
        <v>2023</v>
      </c>
    </row>
    <row r="1792" spans="16:17">
      <c r="P1792" t="s">
        <v>1550</v>
      </c>
      <c r="Q1792">
        <v>2023</v>
      </c>
    </row>
    <row r="1793" spans="16:17">
      <c r="P1793" t="s">
        <v>1275</v>
      </c>
      <c r="Q1793">
        <v>2023</v>
      </c>
    </row>
    <row r="1794" spans="16:17">
      <c r="P1794" t="s">
        <v>1937</v>
      </c>
      <c r="Q1794">
        <v>2023</v>
      </c>
    </row>
    <row r="1795" spans="16:17">
      <c r="P1795" t="s">
        <v>480</v>
      </c>
      <c r="Q1795">
        <v>2023</v>
      </c>
    </row>
    <row r="1796" spans="16:17">
      <c r="P1796" t="s">
        <v>2390</v>
      </c>
      <c r="Q1796">
        <v>2023</v>
      </c>
    </row>
    <row r="1797" spans="16:17">
      <c r="P1797" t="s">
        <v>1740</v>
      </c>
      <c r="Q1797">
        <v>2023</v>
      </c>
    </row>
    <row r="1798" spans="16:17">
      <c r="P1798" t="s">
        <v>220</v>
      </c>
      <c r="Q1798">
        <v>2023</v>
      </c>
    </row>
    <row r="1799" spans="16:17">
      <c r="P1799" t="s">
        <v>141</v>
      </c>
      <c r="Q1799">
        <v>2023</v>
      </c>
    </row>
    <row r="1800" spans="16:17">
      <c r="P1800" t="s">
        <v>1801</v>
      </c>
      <c r="Q1800">
        <v>2023</v>
      </c>
    </row>
    <row r="1801" spans="16:17">
      <c r="P1801" t="s">
        <v>1682</v>
      </c>
      <c r="Q1801">
        <v>2023</v>
      </c>
    </row>
    <row r="1802" spans="16:17">
      <c r="P1802" t="s">
        <v>745</v>
      </c>
      <c r="Q1802">
        <v>2023</v>
      </c>
    </row>
    <row r="1803" spans="16:17">
      <c r="P1803" t="s">
        <v>1912</v>
      </c>
      <c r="Q1803">
        <v>2023</v>
      </c>
    </row>
    <row r="1804" spans="16:17">
      <c r="P1804" t="s">
        <v>603</v>
      </c>
      <c r="Q1804">
        <v>2023</v>
      </c>
    </row>
    <row r="1805" spans="16:17">
      <c r="P1805" t="s">
        <v>1174</v>
      </c>
      <c r="Q1805">
        <v>2023</v>
      </c>
    </row>
    <row r="1806" spans="16:17">
      <c r="P1806" t="s">
        <v>2199</v>
      </c>
      <c r="Q1806">
        <v>2023</v>
      </c>
    </row>
    <row r="1807" spans="16:17">
      <c r="P1807" t="s">
        <v>285</v>
      </c>
      <c r="Q1807">
        <v>2023</v>
      </c>
    </row>
    <row r="1808" spans="16:17">
      <c r="P1808" t="s">
        <v>380</v>
      </c>
      <c r="Q1808">
        <v>2023</v>
      </c>
    </row>
    <row r="1809" spans="16:17">
      <c r="P1809" t="s">
        <v>2653</v>
      </c>
      <c r="Q1809">
        <v>2023</v>
      </c>
    </row>
    <row r="1810" spans="16:17">
      <c r="P1810" t="s">
        <v>826</v>
      </c>
      <c r="Q1810">
        <v>2023</v>
      </c>
    </row>
    <row r="1811" spans="16:17">
      <c r="P1811" t="s">
        <v>187</v>
      </c>
      <c r="Q1811">
        <v>2024</v>
      </c>
    </row>
    <row r="1812" spans="16:17">
      <c r="P1812" t="s">
        <v>770</v>
      </c>
      <c r="Q1812">
        <v>2024</v>
      </c>
    </row>
    <row r="1813" spans="16:17">
      <c r="P1813" t="s">
        <v>912</v>
      </c>
      <c r="Q1813">
        <v>2024</v>
      </c>
    </row>
    <row r="1814" spans="16:17">
      <c r="P1814" t="s">
        <v>2474</v>
      </c>
      <c r="Q1814">
        <v>2024</v>
      </c>
    </row>
    <row r="1815" spans="16:17">
      <c r="P1815" t="s">
        <v>1035</v>
      </c>
      <c r="Q1815">
        <v>2024</v>
      </c>
    </row>
    <row r="1816" spans="16:17">
      <c r="P1816" t="s">
        <v>1912</v>
      </c>
      <c r="Q1816">
        <v>2024</v>
      </c>
    </row>
    <row r="1817" spans="16:17">
      <c r="P1817" t="s">
        <v>1973</v>
      </c>
      <c r="Q1817">
        <v>2024</v>
      </c>
    </row>
    <row r="1818" spans="16:17">
      <c r="P1818" t="s">
        <v>87</v>
      </c>
      <c r="Q1818">
        <v>2024</v>
      </c>
    </row>
    <row r="1819" spans="16:17">
      <c r="P1819" t="s">
        <v>1950</v>
      </c>
      <c r="Q1819">
        <v>2024</v>
      </c>
    </row>
    <row r="1820" spans="16:17">
      <c r="P1820" t="s">
        <v>1965</v>
      </c>
      <c r="Q1820">
        <v>2024</v>
      </c>
    </row>
    <row r="1821" spans="16:17">
      <c r="P1821" t="s">
        <v>2166</v>
      </c>
      <c r="Q1821">
        <v>2024</v>
      </c>
    </row>
    <row r="1822" spans="16:17">
      <c r="P1822" t="s">
        <v>1625</v>
      </c>
      <c r="Q1822">
        <v>2024</v>
      </c>
    </row>
    <row r="1823" spans="16:17">
      <c r="P1823" t="s">
        <v>1072</v>
      </c>
      <c r="Q1823">
        <v>2024</v>
      </c>
    </row>
    <row r="1824" spans="16:17">
      <c r="P1824" t="s">
        <v>1425</v>
      </c>
      <c r="Q1824">
        <v>2024</v>
      </c>
    </row>
    <row r="1825" spans="16:17">
      <c r="P1825" t="s">
        <v>566</v>
      </c>
      <c r="Q1825">
        <v>2024</v>
      </c>
    </row>
    <row r="1826" spans="16:17">
      <c r="P1826" t="s">
        <v>2044</v>
      </c>
      <c r="Q1826">
        <v>2024</v>
      </c>
    </row>
    <row r="1827" spans="16:17">
      <c r="P1827" t="s">
        <v>2055</v>
      </c>
      <c r="Q1827">
        <v>2024</v>
      </c>
    </row>
    <row r="1828" spans="16:17">
      <c r="P1828" t="s">
        <v>1746</v>
      </c>
      <c r="Q1828">
        <v>2024</v>
      </c>
    </row>
    <row r="1829" spans="16:17">
      <c r="P1829" t="s">
        <v>2505</v>
      </c>
      <c r="Q1829">
        <v>2024</v>
      </c>
    </row>
    <row r="1830" spans="16:17">
      <c r="P1830" t="s">
        <v>1933</v>
      </c>
      <c r="Q1830">
        <v>2024</v>
      </c>
    </row>
    <row r="1831" spans="16:17">
      <c r="P1831" t="s">
        <v>798</v>
      </c>
      <c r="Q1831">
        <v>2024</v>
      </c>
    </row>
    <row r="1832" spans="16:17">
      <c r="P1832" t="s">
        <v>2286</v>
      </c>
      <c r="Q1832">
        <v>2024</v>
      </c>
    </row>
    <row r="1833" spans="16:17">
      <c r="P1833" t="s">
        <v>230</v>
      </c>
      <c r="Q1833">
        <v>2024</v>
      </c>
    </row>
    <row r="1834" spans="16:17">
      <c r="P1834" t="s">
        <v>2536</v>
      </c>
      <c r="Q1834">
        <v>2024</v>
      </c>
    </row>
    <row r="1835" spans="16:17">
      <c r="P1835" t="s">
        <v>195</v>
      </c>
      <c r="Q1835">
        <v>2024</v>
      </c>
    </row>
    <row r="1836" spans="16:17">
      <c r="P1836" t="s">
        <v>2387</v>
      </c>
      <c r="Q1836">
        <v>2024</v>
      </c>
    </row>
    <row r="1837" spans="16:17">
      <c r="P1837" t="s">
        <v>1764</v>
      </c>
      <c r="Q1837">
        <v>2024</v>
      </c>
    </row>
    <row r="1838" spans="16:17">
      <c r="P1838" t="s">
        <v>31</v>
      </c>
      <c r="Q1838">
        <v>2024</v>
      </c>
    </row>
    <row r="1839" spans="16:17">
      <c r="P1839" t="s">
        <v>1707</v>
      </c>
      <c r="Q1839">
        <v>2024</v>
      </c>
    </row>
    <row r="1840" spans="16:17">
      <c r="P1840" t="s">
        <v>886</v>
      </c>
      <c r="Q1840">
        <v>2024</v>
      </c>
    </row>
    <row r="1841" spans="16:17">
      <c r="P1841" t="s">
        <v>2633</v>
      </c>
      <c r="Q1841">
        <v>2024</v>
      </c>
    </row>
    <row r="1842" spans="16:17">
      <c r="P1842" t="s">
        <v>657</v>
      </c>
      <c r="Q1842">
        <v>2024</v>
      </c>
    </row>
    <row r="1843" spans="16:17">
      <c r="P1843" t="s">
        <v>2520</v>
      </c>
      <c r="Q1843">
        <v>2024</v>
      </c>
    </row>
    <row r="1844" spans="16:17">
      <c r="P1844" t="s">
        <v>1394</v>
      </c>
      <c r="Q1844">
        <v>2024</v>
      </c>
    </row>
    <row r="1845" spans="16:17">
      <c r="P1845" t="s">
        <v>219</v>
      </c>
      <c r="Q1845">
        <v>2024</v>
      </c>
    </row>
    <row r="1846" spans="16:17">
      <c r="P1846" t="s">
        <v>1489</v>
      </c>
      <c r="Q1846">
        <v>2024</v>
      </c>
    </row>
    <row r="1847" spans="16:17">
      <c r="P1847" t="s">
        <v>1618</v>
      </c>
      <c r="Q1847">
        <v>2024</v>
      </c>
    </row>
    <row r="1848" spans="16:17">
      <c r="P1848" t="s">
        <v>930</v>
      </c>
      <c r="Q1848">
        <v>2024</v>
      </c>
    </row>
    <row r="1849" spans="16:17">
      <c r="P1849" t="s">
        <v>1813</v>
      </c>
      <c r="Q1849">
        <v>2024</v>
      </c>
    </row>
    <row r="1850" spans="16:17">
      <c r="P1850" t="s">
        <v>2587</v>
      </c>
      <c r="Q1850">
        <v>2024</v>
      </c>
    </row>
    <row r="1851" spans="16:17">
      <c r="P1851" t="s">
        <v>2446</v>
      </c>
      <c r="Q1851">
        <v>2024</v>
      </c>
    </row>
    <row r="1852" spans="16:17">
      <c r="P1852" t="s">
        <v>1667</v>
      </c>
      <c r="Q1852">
        <v>2024</v>
      </c>
    </row>
    <row r="1853" spans="16:17">
      <c r="P1853" t="s">
        <v>527</v>
      </c>
      <c r="Q1853">
        <v>2024</v>
      </c>
    </row>
    <row r="1854" spans="16:17">
      <c r="P1854" t="s">
        <v>348</v>
      </c>
      <c r="Q1854">
        <v>2024</v>
      </c>
    </row>
    <row r="1855" spans="16:17">
      <c r="P1855" t="s">
        <v>63</v>
      </c>
      <c r="Q1855">
        <v>2024</v>
      </c>
    </row>
    <row r="1856" spans="16:17">
      <c r="P1856" t="s">
        <v>628</v>
      </c>
      <c r="Q1856">
        <v>2024</v>
      </c>
    </row>
    <row r="1857" spans="16:17">
      <c r="P1857" t="s">
        <v>2023</v>
      </c>
      <c r="Q1857">
        <v>2024</v>
      </c>
    </row>
    <row r="1858" spans="16:17">
      <c r="P1858" t="s">
        <v>1396</v>
      </c>
      <c r="Q1858">
        <v>2024</v>
      </c>
    </row>
    <row r="1859" spans="16:17">
      <c r="P1859" t="s">
        <v>141</v>
      </c>
      <c r="Q1859">
        <v>2024</v>
      </c>
    </row>
    <row r="1860" spans="16:17">
      <c r="P1860" t="s">
        <v>2288</v>
      </c>
      <c r="Q1860">
        <v>2024</v>
      </c>
    </row>
    <row r="1861" spans="16:17">
      <c r="P1861" t="s">
        <v>2457</v>
      </c>
      <c r="Q1861">
        <v>2024</v>
      </c>
    </row>
    <row r="1862" spans="16:17">
      <c r="P1862" t="s">
        <v>158</v>
      </c>
      <c r="Q1862">
        <v>2024</v>
      </c>
    </row>
    <row r="1863" spans="16:17">
      <c r="P1863" t="s">
        <v>683</v>
      </c>
      <c r="Q1863">
        <v>2024</v>
      </c>
    </row>
    <row r="1864" spans="16:17">
      <c r="P1864" t="s">
        <v>1947</v>
      </c>
      <c r="Q1864">
        <v>2024</v>
      </c>
    </row>
    <row r="1865" spans="16:17">
      <c r="P1865" t="s">
        <v>571</v>
      </c>
      <c r="Q1865">
        <v>2024</v>
      </c>
    </row>
    <row r="1866" spans="16:17">
      <c r="P1866" t="s">
        <v>2113</v>
      </c>
      <c r="Q1866">
        <v>2024</v>
      </c>
    </row>
    <row r="1867" spans="16:17">
      <c r="P1867" t="s">
        <v>2503</v>
      </c>
      <c r="Q1867">
        <v>2024</v>
      </c>
    </row>
    <row r="1868" spans="16:17">
      <c r="P1868" t="s">
        <v>1842</v>
      </c>
      <c r="Q1868">
        <v>2024</v>
      </c>
    </row>
    <row r="1869" spans="16:17">
      <c r="P1869" t="s">
        <v>1095</v>
      </c>
      <c r="Q1869">
        <v>2024</v>
      </c>
    </row>
    <row r="1870" spans="16:17">
      <c r="P1870" t="s">
        <v>439</v>
      </c>
      <c r="Q1870">
        <v>2024</v>
      </c>
    </row>
    <row r="1871" spans="16:17">
      <c r="P1871" t="s">
        <v>2458</v>
      </c>
      <c r="Q1871">
        <v>2024</v>
      </c>
    </row>
    <row r="1872" spans="16:17">
      <c r="P1872" t="s">
        <v>1979</v>
      </c>
      <c r="Q1872">
        <v>2024</v>
      </c>
    </row>
    <row r="1873" spans="16:17">
      <c r="P1873" t="s">
        <v>79</v>
      </c>
      <c r="Q1873">
        <v>2024</v>
      </c>
    </row>
    <row r="1874" spans="16:17">
      <c r="P1874" t="s">
        <v>1496</v>
      </c>
      <c r="Q1874">
        <v>2024</v>
      </c>
    </row>
    <row r="1875" spans="16:17">
      <c r="P1875" t="s">
        <v>624</v>
      </c>
      <c r="Q1875">
        <v>2024</v>
      </c>
    </row>
    <row r="1876" spans="16:17">
      <c r="P1876" t="s">
        <v>2542</v>
      </c>
      <c r="Q1876">
        <v>2024</v>
      </c>
    </row>
    <row r="1877" spans="16:17">
      <c r="P1877" t="s">
        <v>1225</v>
      </c>
      <c r="Q1877">
        <v>2024</v>
      </c>
    </row>
    <row r="1878" spans="16:17">
      <c r="P1878" t="s">
        <v>1165</v>
      </c>
      <c r="Q1878">
        <v>2024</v>
      </c>
    </row>
    <row r="1879" spans="16:17">
      <c r="P1879" t="s">
        <v>539</v>
      </c>
      <c r="Q1879">
        <v>2024</v>
      </c>
    </row>
    <row r="1880" spans="16:17">
      <c r="P1880" t="s">
        <v>2425</v>
      </c>
      <c r="Q1880">
        <v>2024</v>
      </c>
    </row>
    <row r="1881" spans="16:17">
      <c r="P1881" t="s">
        <v>1740</v>
      </c>
      <c r="Q1881">
        <v>2024</v>
      </c>
    </row>
    <row r="1882" spans="16:17">
      <c r="P1882" t="s">
        <v>235</v>
      </c>
      <c r="Q1882">
        <v>2024</v>
      </c>
    </row>
    <row r="1883" spans="16:17">
      <c r="P1883" t="s">
        <v>1515</v>
      </c>
      <c r="Q1883">
        <v>2024</v>
      </c>
    </row>
    <row r="1884" spans="16:17">
      <c r="P1884" t="s">
        <v>2296</v>
      </c>
      <c r="Q1884">
        <v>2024</v>
      </c>
    </row>
    <row r="1885" spans="16:17">
      <c r="P1885" t="s">
        <v>354</v>
      </c>
      <c r="Q1885">
        <v>2024</v>
      </c>
    </row>
    <row r="1886" spans="16:17">
      <c r="P1886" t="s">
        <v>1448</v>
      </c>
      <c r="Q1886">
        <v>2024</v>
      </c>
    </row>
    <row r="1887" spans="16:17">
      <c r="P1887" t="s">
        <v>109</v>
      </c>
      <c r="Q1887">
        <v>2024</v>
      </c>
    </row>
    <row r="1888" spans="16:17">
      <c r="P1888" t="s">
        <v>1465</v>
      </c>
      <c r="Q1888">
        <v>2024</v>
      </c>
    </row>
    <row r="1889" spans="16:17">
      <c r="P1889" t="s">
        <v>2119</v>
      </c>
      <c r="Q1889">
        <v>2024</v>
      </c>
    </row>
    <row r="1890" spans="16:17">
      <c r="P1890" t="s">
        <v>2367</v>
      </c>
      <c r="Q1890">
        <v>2024</v>
      </c>
    </row>
    <row r="1891" spans="16:17">
      <c r="P1891" t="s">
        <v>199</v>
      </c>
      <c r="Q1891">
        <v>2024</v>
      </c>
    </row>
    <row r="1892" spans="16:17">
      <c r="P1892" t="s">
        <v>786</v>
      </c>
      <c r="Q1892">
        <v>2024</v>
      </c>
    </row>
    <row r="1893" spans="16:17">
      <c r="P1893" t="s">
        <v>403</v>
      </c>
      <c r="Q1893">
        <v>2024</v>
      </c>
    </row>
    <row r="1894" spans="16:17">
      <c r="P1894" t="s">
        <v>206</v>
      </c>
      <c r="Q1894">
        <v>2024</v>
      </c>
    </row>
    <row r="1895" spans="16:17">
      <c r="P1895" t="s">
        <v>661</v>
      </c>
      <c r="Q1895">
        <v>2024</v>
      </c>
    </row>
    <row r="1896" spans="16:17">
      <c r="P1896" t="s">
        <v>1790</v>
      </c>
      <c r="Q1896">
        <v>2024</v>
      </c>
    </row>
    <row r="1897" spans="16:17">
      <c r="P1897" t="s">
        <v>1133</v>
      </c>
      <c r="Q1897">
        <v>2024</v>
      </c>
    </row>
    <row r="1898" spans="16:17">
      <c r="P1898" t="s">
        <v>738</v>
      </c>
      <c r="Q1898">
        <v>2024</v>
      </c>
    </row>
    <row r="1899" spans="16:17">
      <c r="P1899" t="s">
        <v>2211</v>
      </c>
      <c r="Q1899">
        <v>2024</v>
      </c>
    </row>
    <row r="1900" spans="16:17">
      <c r="P1900" t="s">
        <v>525</v>
      </c>
      <c r="Q1900">
        <v>2024</v>
      </c>
    </row>
    <row r="1901" spans="16:17">
      <c r="P1901" t="s">
        <v>1163</v>
      </c>
      <c r="Q1901">
        <v>2024</v>
      </c>
    </row>
    <row r="1902" spans="16:17">
      <c r="P1902" t="s">
        <v>937</v>
      </c>
      <c r="Q1902">
        <v>2024</v>
      </c>
    </row>
    <row r="1903" spans="16:17">
      <c r="P1903" t="s">
        <v>1029</v>
      </c>
      <c r="Q1903">
        <v>2024</v>
      </c>
    </row>
    <row r="1904" spans="16:17">
      <c r="P1904" t="s">
        <v>1698</v>
      </c>
      <c r="Q1904">
        <v>2024</v>
      </c>
    </row>
    <row r="1905" spans="16:17">
      <c r="P1905" t="s">
        <v>227</v>
      </c>
      <c r="Q1905">
        <v>2024</v>
      </c>
    </row>
    <row r="1906" spans="16:17">
      <c r="P1906" t="s">
        <v>1549</v>
      </c>
      <c r="Q1906">
        <v>2024</v>
      </c>
    </row>
    <row r="1907" spans="16:17">
      <c r="P1907" t="s">
        <v>592</v>
      </c>
      <c r="Q1907">
        <v>2024</v>
      </c>
    </row>
    <row r="1908" spans="16:17">
      <c r="P1908" t="s">
        <v>927</v>
      </c>
      <c r="Q1908">
        <v>2024</v>
      </c>
    </row>
    <row r="1909" spans="16:17">
      <c r="P1909" t="s">
        <v>1902</v>
      </c>
      <c r="Q1909">
        <v>2024</v>
      </c>
    </row>
    <row r="1910" spans="16:17">
      <c r="P1910" t="s">
        <v>295</v>
      </c>
      <c r="Q1910">
        <v>2024</v>
      </c>
    </row>
    <row r="1911" spans="16:17">
      <c r="P1911" t="s">
        <v>243</v>
      </c>
      <c r="Q1911">
        <v>2024</v>
      </c>
    </row>
    <row r="1912" spans="16:17">
      <c r="P1912" t="s">
        <v>947</v>
      </c>
      <c r="Q1912">
        <v>2024</v>
      </c>
    </row>
    <row r="1913" spans="16:17">
      <c r="P1913" t="s">
        <v>1099</v>
      </c>
      <c r="Q1913">
        <v>2024</v>
      </c>
    </row>
    <row r="1914" spans="16:17">
      <c r="P1914" t="s">
        <v>2273</v>
      </c>
      <c r="Q1914">
        <v>2024</v>
      </c>
    </row>
    <row r="1915" spans="16:17">
      <c r="P1915" t="s">
        <v>1371</v>
      </c>
      <c r="Q1915">
        <v>2024</v>
      </c>
    </row>
    <row r="1916" spans="16:17">
      <c r="P1916" t="s">
        <v>790</v>
      </c>
      <c r="Q1916">
        <v>2024</v>
      </c>
    </row>
    <row r="1917" spans="16:17">
      <c r="P1917" t="s">
        <v>975</v>
      </c>
      <c r="Q1917">
        <v>2024</v>
      </c>
    </row>
    <row r="1918" spans="16:17">
      <c r="P1918" t="s">
        <v>1935</v>
      </c>
      <c r="Q1918">
        <v>2024</v>
      </c>
    </row>
    <row r="1919" spans="16:17">
      <c r="P1919" t="s">
        <v>2248</v>
      </c>
      <c r="Q1919">
        <v>2024</v>
      </c>
    </row>
    <row r="1920" spans="16:17">
      <c r="P1920" t="s">
        <v>2320</v>
      </c>
      <c r="Q1920">
        <v>2024</v>
      </c>
    </row>
    <row r="1921" spans="16:17">
      <c r="P1921" t="s">
        <v>1419</v>
      </c>
      <c r="Q1921">
        <v>2024</v>
      </c>
    </row>
    <row r="1922" spans="16:17">
      <c r="P1922" t="s">
        <v>923</v>
      </c>
      <c r="Q1922">
        <v>2024</v>
      </c>
    </row>
    <row r="1923" spans="16:17">
      <c r="P1923" t="s">
        <v>979</v>
      </c>
      <c r="Q1923">
        <v>2024</v>
      </c>
    </row>
    <row r="1924" spans="16:17">
      <c r="P1924" t="s">
        <v>697</v>
      </c>
      <c r="Q1924">
        <v>2024</v>
      </c>
    </row>
    <row r="1925" spans="16:17">
      <c r="P1925" t="s">
        <v>1236</v>
      </c>
      <c r="Q1925">
        <v>2024</v>
      </c>
    </row>
    <row r="1926" spans="16:17">
      <c r="P1926" t="s">
        <v>229</v>
      </c>
      <c r="Q1926">
        <v>2024</v>
      </c>
    </row>
    <row r="1927" spans="16:17">
      <c r="P1927" t="s">
        <v>826</v>
      </c>
      <c r="Q1927">
        <v>2024</v>
      </c>
    </row>
    <row r="1928" spans="16:17">
      <c r="P1928" t="s">
        <v>2126</v>
      </c>
      <c r="Q1928">
        <v>2024</v>
      </c>
    </row>
    <row r="1929" spans="16:17">
      <c r="P1929" t="s">
        <v>2300</v>
      </c>
      <c r="Q1929">
        <v>2024</v>
      </c>
    </row>
    <row r="1930" spans="16:17">
      <c r="P1930" t="s">
        <v>558</v>
      </c>
      <c r="Q1930">
        <v>2024</v>
      </c>
    </row>
    <row r="1931" spans="16:17">
      <c r="P1931" t="s">
        <v>1322</v>
      </c>
      <c r="Q1931">
        <v>2024</v>
      </c>
    </row>
    <row r="1932" spans="16:17">
      <c r="P1932" t="s">
        <v>2244</v>
      </c>
      <c r="Q1932">
        <v>2024</v>
      </c>
    </row>
    <row r="1933" spans="16:17">
      <c r="P1933" t="s">
        <v>492</v>
      </c>
      <c r="Q1933">
        <v>2024</v>
      </c>
    </row>
    <row r="1934" spans="16:17">
      <c r="P1934" t="s">
        <v>773</v>
      </c>
      <c r="Q1934">
        <v>2024</v>
      </c>
    </row>
    <row r="1935" spans="16:17">
      <c r="P1935" t="s">
        <v>917</v>
      </c>
      <c r="Q1935">
        <v>2024</v>
      </c>
    </row>
    <row r="1936" spans="16:17">
      <c r="P1936" t="s">
        <v>145</v>
      </c>
      <c r="Q1936">
        <v>2024</v>
      </c>
    </row>
    <row r="1937" spans="16:17">
      <c r="P1937" t="s">
        <v>1519</v>
      </c>
      <c r="Q1937">
        <v>2024</v>
      </c>
    </row>
    <row r="1938" spans="16:17">
      <c r="P1938" t="s">
        <v>1793</v>
      </c>
      <c r="Q1938">
        <v>2024</v>
      </c>
    </row>
    <row r="1939" spans="16:17">
      <c r="P1939" t="s">
        <v>11</v>
      </c>
      <c r="Q1939">
        <v>2024</v>
      </c>
    </row>
    <row r="1940" spans="16:17">
      <c r="P1940" t="s">
        <v>1595</v>
      </c>
      <c r="Q1940">
        <v>2024</v>
      </c>
    </row>
    <row r="1941" spans="16:17">
      <c r="P1941" t="s">
        <v>1375</v>
      </c>
      <c r="Q1941">
        <v>2024</v>
      </c>
    </row>
    <row r="1942" spans="16:17">
      <c r="P1942" t="s">
        <v>1885</v>
      </c>
      <c r="Q1942">
        <v>2024</v>
      </c>
    </row>
    <row r="1943" spans="16:17">
      <c r="P1943" t="s">
        <v>2659</v>
      </c>
      <c r="Q1943">
        <v>2024</v>
      </c>
    </row>
    <row r="1944" spans="16:17">
      <c r="P1944" t="s">
        <v>532</v>
      </c>
      <c r="Q1944">
        <v>2024</v>
      </c>
    </row>
    <row r="1945" spans="16:17">
      <c r="P1945" t="s">
        <v>1773</v>
      </c>
      <c r="Q1945">
        <v>2024</v>
      </c>
    </row>
    <row r="1946" spans="16:17">
      <c r="P1946" t="s">
        <v>2117</v>
      </c>
      <c r="Q1946">
        <v>2024</v>
      </c>
    </row>
    <row r="1947" spans="16:17">
      <c r="P1947" t="s">
        <v>2449</v>
      </c>
      <c r="Q1947">
        <v>2024</v>
      </c>
    </row>
    <row r="1948" spans="16:17">
      <c r="P1948" t="s">
        <v>1865</v>
      </c>
      <c r="Q1948">
        <v>2024</v>
      </c>
    </row>
    <row r="1949" spans="16:17">
      <c r="P1949" t="s">
        <v>1550</v>
      </c>
      <c r="Q1949">
        <v>2024</v>
      </c>
    </row>
    <row r="1950" spans="16:17">
      <c r="P1950" t="s">
        <v>2164</v>
      </c>
      <c r="Q1950">
        <v>2024</v>
      </c>
    </row>
    <row r="1951" spans="16:17">
      <c r="P1951" t="s">
        <v>1725</v>
      </c>
      <c r="Q1951">
        <v>2024</v>
      </c>
    </row>
    <row r="1952" spans="16:17">
      <c r="P1952" t="s">
        <v>2512</v>
      </c>
      <c r="Q1952">
        <v>2024</v>
      </c>
    </row>
    <row r="1953" spans="16:17">
      <c r="P1953" t="s">
        <v>1180</v>
      </c>
      <c r="Q1953">
        <v>2024</v>
      </c>
    </row>
    <row r="1954" spans="16:17">
      <c r="P1954" t="s">
        <v>1900</v>
      </c>
      <c r="Q1954">
        <v>2024</v>
      </c>
    </row>
    <row r="1955" spans="16:17">
      <c r="P1955" t="s">
        <v>1620</v>
      </c>
      <c r="Q1955">
        <v>2024</v>
      </c>
    </row>
    <row r="1956" spans="16:17">
      <c r="P1956" t="s">
        <v>1573</v>
      </c>
      <c r="Q1956">
        <v>2024</v>
      </c>
    </row>
    <row r="1957" spans="16:17">
      <c r="P1957" t="s">
        <v>2109</v>
      </c>
      <c r="Q1957">
        <v>2024</v>
      </c>
    </row>
    <row r="1958" spans="16:17">
      <c r="P1958" t="s">
        <v>578</v>
      </c>
      <c r="Q1958">
        <v>2024</v>
      </c>
    </row>
    <row r="1959" spans="16:17">
      <c r="P1959" t="s">
        <v>949</v>
      </c>
      <c r="Q1959">
        <v>2024</v>
      </c>
    </row>
    <row r="1960" spans="16:17">
      <c r="P1960" t="s">
        <v>454</v>
      </c>
      <c r="Q1960">
        <v>2024</v>
      </c>
    </row>
    <row r="1961" spans="16:17">
      <c r="P1961" t="s">
        <v>1724</v>
      </c>
      <c r="Q1961">
        <v>2024</v>
      </c>
    </row>
    <row r="1962" spans="16:17">
      <c r="P1962" t="s">
        <v>1387</v>
      </c>
      <c r="Q1962">
        <v>2024</v>
      </c>
    </row>
    <row r="1963" spans="16:17">
      <c r="P1963" t="s">
        <v>1586</v>
      </c>
      <c r="Q1963">
        <v>2024</v>
      </c>
    </row>
    <row r="1964" spans="16:17">
      <c r="P1964" t="s">
        <v>511</v>
      </c>
      <c r="Q1964">
        <v>2024</v>
      </c>
    </row>
    <row r="1965" spans="16:17">
      <c r="P1965" t="s">
        <v>2383</v>
      </c>
      <c r="Q1965">
        <v>2024</v>
      </c>
    </row>
    <row r="1966" spans="16:17">
      <c r="P1966" t="s">
        <v>2431</v>
      </c>
      <c r="Q1966">
        <v>2024</v>
      </c>
    </row>
    <row r="1967" spans="16:17">
      <c r="P1967" t="s">
        <v>2321</v>
      </c>
      <c r="Q1967">
        <v>2024</v>
      </c>
    </row>
    <row r="1968" spans="16:17">
      <c r="P1968" t="s">
        <v>485</v>
      </c>
      <c r="Q1968">
        <v>2024</v>
      </c>
    </row>
    <row r="1969" spans="16:17">
      <c r="P1969" t="s">
        <v>1279</v>
      </c>
      <c r="Q1969">
        <v>2024</v>
      </c>
    </row>
    <row r="1970" spans="16:17">
      <c r="P1970" t="s">
        <v>494</v>
      </c>
      <c r="Q1970">
        <v>2024</v>
      </c>
    </row>
    <row r="1971" spans="16:17">
      <c r="P1971" t="s">
        <v>1101</v>
      </c>
      <c r="Q1971">
        <v>2024</v>
      </c>
    </row>
    <row r="1972" spans="16:17">
      <c r="P1972" t="s">
        <v>1679</v>
      </c>
      <c r="Q1972">
        <v>2024</v>
      </c>
    </row>
    <row r="1973" spans="16:17">
      <c r="P1973" t="s">
        <v>258</v>
      </c>
      <c r="Q1973">
        <v>2024</v>
      </c>
    </row>
    <row r="1974" spans="16:17">
      <c r="P1974" t="s">
        <v>2185</v>
      </c>
      <c r="Q1974">
        <v>2024</v>
      </c>
    </row>
    <row r="1975" spans="16:17">
      <c r="P1975" t="s">
        <v>2190</v>
      </c>
      <c r="Q1975">
        <v>2024</v>
      </c>
    </row>
    <row r="1976" spans="16:17">
      <c r="P1976" t="s">
        <v>1046</v>
      </c>
      <c r="Q1976">
        <v>2024</v>
      </c>
    </row>
    <row r="1977" spans="16:17">
      <c r="P1977" t="s">
        <v>2634</v>
      </c>
      <c r="Q1977">
        <v>2024</v>
      </c>
    </row>
    <row r="1978" spans="16:17">
      <c r="P1978" t="s">
        <v>2090</v>
      </c>
      <c r="Q1978">
        <v>2024</v>
      </c>
    </row>
    <row r="1979" spans="16:17">
      <c r="P1979" t="s">
        <v>277</v>
      </c>
      <c r="Q1979">
        <v>2024</v>
      </c>
    </row>
    <row r="1980" spans="16:17">
      <c r="P1980" t="s">
        <v>1373</v>
      </c>
      <c r="Q1980">
        <v>2024</v>
      </c>
    </row>
    <row r="1981" spans="16:17">
      <c r="P1981" t="s">
        <v>1459</v>
      </c>
      <c r="Q1981">
        <v>2024</v>
      </c>
    </row>
    <row r="1982" spans="16:17">
      <c r="P1982" t="s">
        <v>1673</v>
      </c>
      <c r="Q1982">
        <v>2024</v>
      </c>
    </row>
    <row r="1983" spans="16:17">
      <c r="P1983" t="s">
        <v>2102</v>
      </c>
      <c r="Q1983">
        <v>2024</v>
      </c>
    </row>
    <row r="1984" spans="16:17">
      <c r="P1984" t="s">
        <v>71</v>
      </c>
      <c r="Q1984">
        <v>2024</v>
      </c>
    </row>
    <row r="1985" spans="16:17">
      <c r="P1985" t="s">
        <v>220</v>
      </c>
      <c r="Q1985">
        <v>2024</v>
      </c>
    </row>
    <row r="1986" spans="16:17">
      <c r="P1986" t="s">
        <v>1395</v>
      </c>
      <c r="Q1986">
        <v>2024</v>
      </c>
    </row>
    <row r="1987" spans="16:17">
      <c r="P1987" t="s">
        <v>1361</v>
      </c>
      <c r="Q1987">
        <v>2024</v>
      </c>
    </row>
    <row r="1988" spans="16:17">
      <c r="P1988" t="s">
        <v>210</v>
      </c>
      <c r="Q1988">
        <v>2024</v>
      </c>
    </row>
    <row r="1989" spans="16:17">
      <c r="P1989" t="s">
        <v>985</v>
      </c>
      <c r="Q1989">
        <v>2024</v>
      </c>
    </row>
    <row r="1990" spans="16:17">
      <c r="P1990" t="s">
        <v>594</v>
      </c>
      <c r="Q1990">
        <v>2024</v>
      </c>
    </row>
    <row r="1991" spans="16:17">
      <c r="P1991" t="s">
        <v>673</v>
      </c>
      <c r="Q1991">
        <v>2024</v>
      </c>
    </row>
    <row r="1992" spans="16:17">
      <c r="P1992" t="s">
        <v>2552</v>
      </c>
      <c r="Q1992">
        <v>2024</v>
      </c>
    </row>
    <row r="1993" spans="16:17">
      <c r="P1993" t="s">
        <v>535</v>
      </c>
      <c r="Q1993">
        <v>2024</v>
      </c>
    </row>
    <row r="1994" spans="16:17">
      <c r="P1994" t="s">
        <v>2434</v>
      </c>
      <c r="Q1994">
        <v>2024</v>
      </c>
    </row>
    <row r="1995" spans="16:17">
      <c r="P1995" t="s">
        <v>1476</v>
      </c>
      <c r="Q1995">
        <v>2024</v>
      </c>
    </row>
    <row r="1996" spans="16:17">
      <c r="P1996" t="s">
        <v>1802</v>
      </c>
      <c r="Q1996">
        <v>2024</v>
      </c>
    </row>
    <row r="1997" spans="16:17">
      <c r="P1997" t="s">
        <v>452</v>
      </c>
      <c r="Q1997">
        <v>2024</v>
      </c>
    </row>
    <row r="1998" spans="16:17">
      <c r="P1998" t="s">
        <v>2261</v>
      </c>
      <c r="Q1998">
        <v>2024</v>
      </c>
    </row>
    <row r="1999" spans="16:17">
      <c r="P1999" t="s">
        <v>2476</v>
      </c>
      <c r="Q1999">
        <v>2024</v>
      </c>
    </row>
    <row r="2000" spans="16:17">
      <c r="P2000" t="s">
        <v>925</v>
      </c>
      <c r="Q2000">
        <v>2024</v>
      </c>
    </row>
    <row r="2001" spans="16:17">
      <c r="P2001" t="s">
        <v>1690</v>
      </c>
      <c r="Q2001">
        <v>2024</v>
      </c>
    </row>
    <row r="2002" spans="16:17">
      <c r="P2002" t="s">
        <v>1303</v>
      </c>
      <c r="Q2002">
        <v>2024</v>
      </c>
    </row>
    <row r="2003" spans="16:17">
      <c r="P2003" t="s">
        <v>396</v>
      </c>
      <c r="Q2003">
        <v>2024</v>
      </c>
    </row>
    <row r="2004" spans="16:17">
      <c r="P2004" t="s">
        <v>1637</v>
      </c>
      <c r="Q2004">
        <v>2024</v>
      </c>
    </row>
    <row r="2005" spans="16:17">
      <c r="P2005" t="s">
        <v>287</v>
      </c>
      <c r="Q2005">
        <v>2024</v>
      </c>
    </row>
    <row r="2006" spans="16:17">
      <c r="P2006" t="s">
        <v>365</v>
      </c>
      <c r="Q2006">
        <v>2024</v>
      </c>
    </row>
    <row r="2007" spans="16:17">
      <c r="P2007" t="s">
        <v>2328</v>
      </c>
      <c r="Q2007">
        <v>2024</v>
      </c>
    </row>
    <row r="2008" spans="16:17">
      <c r="P2008" t="s">
        <v>2663</v>
      </c>
      <c r="Q2008">
        <v>2024</v>
      </c>
    </row>
    <row r="2009" spans="16:17">
      <c r="P2009" t="s">
        <v>2408</v>
      </c>
      <c r="Q2009">
        <v>2024</v>
      </c>
    </row>
    <row r="2010" spans="16:17">
      <c r="P2010" t="s">
        <v>815</v>
      </c>
      <c r="Q2010">
        <v>2024</v>
      </c>
    </row>
    <row r="2011" spans="16:17">
      <c r="P2011" t="s">
        <v>666</v>
      </c>
      <c r="Q2011">
        <v>2024</v>
      </c>
    </row>
    <row r="2012" spans="16:17">
      <c r="P2012" t="s">
        <v>2093</v>
      </c>
      <c r="Q2012">
        <v>2024</v>
      </c>
    </row>
    <row r="2013" spans="16:17">
      <c r="P2013" t="s">
        <v>2062</v>
      </c>
      <c r="Q2013">
        <v>2024</v>
      </c>
    </row>
    <row r="2014" spans="16:17">
      <c r="P2014" t="s">
        <v>178</v>
      </c>
      <c r="Q2014">
        <v>2024</v>
      </c>
    </row>
    <row r="2015" spans="16:17">
      <c r="P2015" t="s">
        <v>1671</v>
      </c>
      <c r="Q2015">
        <v>2024</v>
      </c>
    </row>
    <row r="2016" spans="16:17">
      <c r="P2016" t="s">
        <v>2667</v>
      </c>
      <c r="Q2016">
        <v>2024</v>
      </c>
    </row>
    <row r="2017" spans="16:17">
      <c r="P2017" t="s">
        <v>2103</v>
      </c>
      <c r="Q2017">
        <v>2024</v>
      </c>
    </row>
    <row r="2018" spans="16:17">
      <c r="P2018" t="s">
        <v>34</v>
      </c>
      <c r="Q2018">
        <v>2024</v>
      </c>
    </row>
    <row r="2019" spans="16:17">
      <c r="P2019" t="s">
        <v>124</v>
      </c>
      <c r="Q2019">
        <v>2024</v>
      </c>
    </row>
    <row r="2020" spans="16:17">
      <c r="P2020" t="s">
        <v>1635</v>
      </c>
      <c r="Q2020">
        <v>2024</v>
      </c>
    </row>
    <row r="2021" spans="16:17">
      <c r="P2021" t="s">
        <v>591</v>
      </c>
      <c r="Q2021">
        <v>2024</v>
      </c>
    </row>
    <row r="2022" spans="16:17">
      <c r="P2022" t="s">
        <v>1988</v>
      </c>
      <c r="Q2022">
        <v>2024</v>
      </c>
    </row>
    <row r="2023" spans="16:17">
      <c r="P2023" t="s">
        <v>1428</v>
      </c>
      <c r="Q2023">
        <v>2024</v>
      </c>
    </row>
    <row r="2024" spans="16:17">
      <c r="P2024" t="s">
        <v>1509</v>
      </c>
      <c r="Q2024">
        <v>2024</v>
      </c>
    </row>
    <row r="2025" spans="16:17">
      <c r="P2025" t="s">
        <v>2315</v>
      </c>
      <c r="Q2025">
        <v>2024</v>
      </c>
    </row>
    <row r="2026" spans="16:17">
      <c r="P2026" t="s">
        <v>1468</v>
      </c>
      <c r="Q2026">
        <v>2024</v>
      </c>
    </row>
    <row r="2027" spans="16:17">
      <c r="P2027" t="s">
        <v>477</v>
      </c>
      <c r="Q2027">
        <v>2024</v>
      </c>
    </row>
    <row r="2028" spans="16:17">
      <c r="P2028" t="s">
        <v>1345</v>
      </c>
      <c r="Q2028">
        <v>2024</v>
      </c>
    </row>
    <row r="2029" spans="16:17">
      <c r="P2029" t="s">
        <v>1363</v>
      </c>
      <c r="Q2029">
        <v>2024</v>
      </c>
    </row>
    <row r="2030" spans="16:17">
      <c r="P2030" t="s">
        <v>1260</v>
      </c>
      <c r="Q2030">
        <v>2024</v>
      </c>
    </row>
    <row r="2031" spans="16:17">
      <c r="P2031" t="s">
        <v>1011</v>
      </c>
      <c r="Q2031">
        <v>2024</v>
      </c>
    </row>
    <row r="2032" spans="16:17">
      <c r="P2032" t="s">
        <v>204</v>
      </c>
      <c r="Q2032">
        <v>2024</v>
      </c>
    </row>
    <row r="2033" spans="16:17">
      <c r="P2033" t="s">
        <v>585</v>
      </c>
      <c r="Q2033">
        <v>2024</v>
      </c>
    </row>
    <row r="2034" spans="16:17">
      <c r="P2034" t="s">
        <v>1678</v>
      </c>
      <c r="Q2034">
        <v>2024</v>
      </c>
    </row>
    <row r="2035" spans="16:17">
      <c r="P2035" t="s">
        <v>1701</v>
      </c>
      <c r="Q2035">
        <v>2024</v>
      </c>
    </row>
    <row r="2036" spans="16:17">
      <c r="P2036" t="s">
        <v>1887</v>
      </c>
      <c r="Q2036">
        <v>2024</v>
      </c>
    </row>
    <row r="2037" spans="16:17">
      <c r="P2037" t="s">
        <v>598</v>
      </c>
      <c r="Q2037">
        <v>2024</v>
      </c>
    </row>
    <row r="2038" spans="16:17">
      <c r="P2038" t="s">
        <v>1530</v>
      </c>
      <c r="Q2038">
        <v>2024</v>
      </c>
    </row>
    <row r="2039" spans="16:17">
      <c r="P2039" t="s">
        <v>1284</v>
      </c>
      <c r="Q2039">
        <v>2024</v>
      </c>
    </row>
    <row r="2040" spans="16:17">
      <c r="P2040" t="s">
        <v>2582</v>
      </c>
      <c r="Q2040">
        <v>2024</v>
      </c>
    </row>
    <row r="2041" spans="16:17">
      <c r="P2041" t="s">
        <v>1113</v>
      </c>
      <c r="Q2041">
        <v>2024</v>
      </c>
    </row>
    <row r="2042" spans="16:17">
      <c r="P2042" t="s">
        <v>1385</v>
      </c>
      <c r="Q2042">
        <v>2024</v>
      </c>
    </row>
    <row r="2043" spans="16:17">
      <c r="P2043" t="s">
        <v>1557</v>
      </c>
      <c r="Q2043">
        <v>2024</v>
      </c>
    </row>
    <row r="2044" spans="16:17">
      <c r="P2044" t="s">
        <v>965</v>
      </c>
      <c r="Q2044">
        <v>2024</v>
      </c>
    </row>
    <row r="2045" spans="16:17">
      <c r="P2045" t="s">
        <v>2272</v>
      </c>
      <c r="Q2045">
        <v>2024</v>
      </c>
    </row>
    <row r="2046" spans="16:17">
      <c r="P2046" t="s">
        <v>1014</v>
      </c>
      <c r="Q2046">
        <v>2024</v>
      </c>
    </row>
    <row r="2047" spans="16:17">
      <c r="P2047" t="s">
        <v>1521</v>
      </c>
      <c r="Q2047">
        <v>2024</v>
      </c>
    </row>
    <row r="2048" spans="16:17">
      <c r="P2048" t="s">
        <v>1431</v>
      </c>
      <c r="Q2048">
        <v>2024</v>
      </c>
    </row>
    <row r="2049" spans="16:17">
      <c r="P2049" t="s">
        <v>2671</v>
      </c>
      <c r="Q2049">
        <v>2024</v>
      </c>
    </row>
    <row r="2050" spans="16:17">
      <c r="P2050" t="s">
        <v>1665</v>
      </c>
      <c r="Q2050">
        <v>2024</v>
      </c>
    </row>
    <row r="2051" spans="16:17">
      <c r="P2051" t="s">
        <v>677</v>
      </c>
      <c r="Q2051">
        <v>2024</v>
      </c>
    </row>
    <row r="2052" spans="16:17">
      <c r="P2052" t="s">
        <v>1288</v>
      </c>
      <c r="Q2052">
        <v>2024</v>
      </c>
    </row>
    <row r="2053" spans="16:17">
      <c r="P2053" t="s">
        <v>345</v>
      </c>
      <c r="Q2053">
        <v>2024</v>
      </c>
    </row>
    <row r="2054" spans="16:17">
      <c r="P2054" t="s">
        <v>967</v>
      </c>
      <c r="Q2054">
        <v>2024</v>
      </c>
    </row>
    <row r="2055" spans="16:17">
      <c r="P2055" t="s">
        <v>2279</v>
      </c>
      <c r="Q2055">
        <v>2024</v>
      </c>
    </row>
    <row r="2056" spans="16:17">
      <c r="P2056" t="s">
        <v>2096</v>
      </c>
      <c r="Q2056">
        <v>2024</v>
      </c>
    </row>
    <row r="2057" spans="16:17">
      <c r="P2057" t="s">
        <v>885</v>
      </c>
      <c r="Q2057">
        <v>2024</v>
      </c>
    </row>
    <row r="2058" spans="16:17">
      <c r="P2058" t="s">
        <v>1893</v>
      </c>
      <c r="Q2058">
        <v>2024</v>
      </c>
    </row>
    <row r="2059" spans="16:17">
      <c r="P2059" t="s">
        <v>2207</v>
      </c>
      <c r="Q2059">
        <v>2024</v>
      </c>
    </row>
    <row r="2060" spans="16:17">
      <c r="P2060" t="s">
        <v>1124</v>
      </c>
      <c r="Q2060">
        <v>2024</v>
      </c>
    </row>
    <row r="2061" spans="16:17">
      <c r="P2061" t="s">
        <v>994</v>
      </c>
      <c r="Q2061">
        <v>2024</v>
      </c>
    </row>
    <row r="2062" spans="16:17">
      <c r="P2062" t="s">
        <v>614</v>
      </c>
      <c r="Q2062">
        <v>2024</v>
      </c>
    </row>
    <row r="2063" spans="16:17">
      <c r="P2063" t="s">
        <v>1633</v>
      </c>
      <c r="Q2063">
        <v>2024</v>
      </c>
    </row>
    <row r="2064" spans="16:17">
      <c r="P2064" t="s">
        <v>875</v>
      </c>
      <c r="Q2064">
        <v>2024</v>
      </c>
    </row>
    <row r="2065" spans="16:17">
      <c r="P2065" t="s">
        <v>133</v>
      </c>
      <c r="Q2065">
        <v>2024</v>
      </c>
    </row>
    <row r="2066" spans="16:17">
      <c r="P2066" t="s">
        <v>1543</v>
      </c>
      <c r="Q2066">
        <v>2024</v>
      </c>
    </row>
    <row r="2067" spans="16:17">
      <c r="P2067" t="s">
        <v>1612</v>
      </c>
      <c r="Q2067">
        <v>2024</v>
      </c>
    </row>
    <row r="2068" spans="16:17">
      <c r="P2068" t="s">
        <v>859</v>
      </c>
      <c r="Q2068">
        <v>2024</v>
      </c>
    </row>
    <row r="2069" spans="16:17">
      <c r="P2069" t="s">
        <v>1948</v>
      </c>
      <c r="Q2069">
        <v>2024</v>
      </c>
    </row>
    <row r="2070" spans="16:17">
      <c r="P2070" t="s">
        <v>1959</v>
      </c>
      <c r="Q2070">
        <v>2024</v>
      </c>
    </row>
    <row r="2071" spans="16:17">
      <c r="P2071" t="s">
        <v>817</v>
      </c>
      <c r="Q2071">
        <v>2024</v>
      </c>
    </row>
    <row r="2072" spans="16:17">
      <c r="P2072" t="s">
        <v>378</v>
      </c>
      <c r="Q2072">
        <v>2024</v>
      </c>
    </row>
    <row r="2073" spans="16:17">
      <c r="P2073" t="s">
        <v>822</v>
      </c>
      <c r="Q2073">
        <v>2024</v>
      </c>
    </row>
    <row r="2074" spans="16:17">
      <c r="P2074" t="s">
        <v>2246</v>
      </c>
      <c r="Q2074">
        <v>2024</v>
      </c>
    </row>
    <row r="2075" spans="16:17">
      <c r="P2075" t="s">
        <v>1918</v>
      </c>
      <c r="Q2075">
        <v>2024</v>
      </c>
    </row>
    <row r="2076" spans="16:17">
      <c r="P2076" t="s">
        <v>2176</v>
      </c>
      <c r="Q2076">
        <v>2024</v>
      </c>
    </row>
    <row r="2077" spans="16:17">
      <c r="P2077" t="s">
        <v>1200</v>
      </c>
      <c r="Q2077">
        <v>2024</v>
      </c>
    </row>
    <row r="2078" spans="16:17">
      <c r="P2078" t="s">
        <v>714</v>
      </c>
      <c r="Q2078">
        <v>2024</v>
      </c>
    </row>
    <row r="2079" spans="16:17">
      <c r="P2079" t="s">
        <v>2199</v>
      </c>
      <c r="Q2079">
        <v>2024</v>
      </c>
    </row>
    <row r="2080" spans="16:17">
      <c r="P2080" t="s">
        <v>1738</v>
      </c>
      <c r="Q2080">
        <v>2024</v>
      </c>
    </row>
    <row r="2081" spans="16:17">
      <c r="P2081" t="s">
        <v>2250</v>
      </c>
      <c r="Q2081">
        <v>2024</v>
      </c>
    </row>
    <row r="2082" spans="16:17">
      <c r="P2082" t="s">
        <v>2140</v>
      </c>
      <c r="Q2082">
        <v>2024</v>
      </c>
    </row>
    <row r="2083" spans="16:17">
      <c r="P2083" t="s">
        <v>2641</v>
      </c>
      <c r="Q2083">
        <v>2024</v>
      </c>
    </row>
    <row r="2084" spans="16:17">
      <c r="P2084" t="s">
        <v>1801</v>
      </c>
      <c r="Q2084">
        <v>2024</v>
      </c>
    </row>
    <row r="2085" spans="16:17">
      <c r="P2085" t="s">
        <v>685</v>
      </c>
      <c r="Q2085">
        <v>2024</v>
      </c>
    </row>
    <row r="2086" spans="16:17">
      <c r="P2086" t="s">
        <v>1523</v>
      </c>
      <c r="Q2086">
        <v>2024</v>
      </c>
    </row>
    <row r="2087" spans="16:17">
      <c r="P2087" t="s">
        <v>2178</v>
      </c>
      <c r="Q2087">
        <v>2024</v>
      </c>
    </row>
    <row r="2088" spans="16:17">
      <c r="P2088" t="s">
        <v>391</v>
      </c>
      <c r="Q2088">
        <v>2024</v>
      </c>
    </row>
    <row r="2089" spans="16:17">
      <c r="P2089" t="s">
        <v>321</v>
      </c>
      <c r="Q2089">
        <v>2024</v>
      </c>
    </row>
    <row r="2090" spans="16:17">
      <c r="P2090" t="s">
        <v>2468</v>
      </c>
      <c r="Q2090">
        <v>2024</v>
      </c>
    </row>
    <row r="2091" spans="16:17">
      <c r="P2091" t="s">
        <v>2385</v>
      </c>
      <c r="Q2091">
        <v>2024</v>
      </c>
    </row>
    <row r="2092" spans="16:17">
      <c r="P2092" t="s">
        <v>24</v>
      </c>
      <c r="Q2092">
        <v>2024</v>
      </c>
    </row>
    <row r="2093" spans="16:17">
      <c r="P2093" t="s">
        <v>1358</v>
      </c>
      <c r="Q2093">
        <v>2024</v>
      </c>
    </row>
    <row r="2094" spans="16:17">
      <c r="P2094" t="s">
        <v>130</v>
      </c>
      <c r="Q2094">
        <v>2024</v>
      </c>
    </row>
    <row r="2095" spans="16:17">
      <c r="P2095" t="s">
        <v>1753</v>
      </c>
      <c r="Q2095">
        <v>2024</v>
      </c>
    </row>
    <row r="2096" spans="16:17">
      <c r="P2096" t="s">
        <v>2575</v>
      </c>
      <c r="Q2096">
        <v>2024</v>
      </c>
    </row>
    <row r="2097" spans="16:17">
      <c r="P2097" t="s">
        <v>1154</v>
      </c>
      <c r="Q2097">
        <v>2024</v>
      </c>
    </row>
    <row r="2098" spans="16:17">
      <c r="P2098" t="s">
        <v>716</v>
      </c>
      <c r="Q2098">
        <v>2024</v>
      </c>
    </row>
    <row r="2099" spans="16:17">
      <c r="P2099" t="s">
        <v>279</v>
      </c>
      <c r="Q2099">
        <v>2024</v>
      </c>
    </row>
    <row r="2100" spans="16:17">
      <c r="P2100" t="s">
        <v>2414</v>
      </c>
      <c r="Q2100">
        <v>2024</v>
      </c>
    </row>
    <row r="2101" spans="16:17">
      <c r="P2101" t="s">
        <v>336</v>
      </c>
      <c r="Q2101">
        <v>2024</v>
      </c>
    </row>
    <row r="2102" spans="16:17">
      <c r="P2102" t="s">
        <v>1682</v>
      </c>
      <c r="Q2102">
        <v>2024</v>
      </c>
    </row>
    <row r="2103" spans="16:17">
      <c r="P2103" t="s">
        <v>2232</v>
      </c>
      <c r="Q2103">
        <v>2024</v>
      </c>
    </row>
    <row r="2104" spans="16:17">
      <c r="P2104" t="s">
        <v>1289</v>
      </c>
      <c r="Q2104">
        <v>2024</v>
      </c>
    </row>
    <row r="2105" spans="16:17">
      <c r="P2105" t="s">
        <v>1048</v>
      </c>
      <c r="Q2105">
        <v>2024</v>
      </c>
    </row>
    <row r="2106" spans="16:17">
      <c r="P2106" t="s">
        <v>1007</v>
      </c>
      <c r="Q2106">
        <v>2024</v>
      </c>
    </row>
    <row r="2107" spans="16:17">
      <c r="P2107" t="s">
        <v>1743</v>
      </c>
      <c r="Q2107">
        <v>2024</v>
      </c>
    </row>
    <row r="2108" spans="16:17">
      <c r="P2108" t="s">
        <v>426</v>
      </c>
      <c r="Q2108">
        <v>2024</v>
      </c>
    </row>
    <row r="2109" spans="16:17">
      <c r="P2109" t="s">
        <v>1616</v>
      </c>
      <c r="Q2109">
        <v>2024</v>
      </c>
    </row>
    <row r="2110" spans="16:17">
      <c r="P2110" t="s">
        <v>1803</v>
      </c>
      <c r="Q2110">
        <v>2024</v>
      </c>
    </row>
    <row r="2111" spans="16:17">
      <c r="P2111" t="s">
        <v>580</v>
      </c>
      <c r="Q2111">
        <v>2024</v>
      </c>
    </row>
    <row r="2112" spans="16:17">
      <c r="P2112" t="s">
        <v>1273</v>
      </c>
      <c r="Q2112">
        <v>2024</v>
      </c>
    </row>
    <row r="2113" spans="16:17">
      <c r="P2113" t="s">
        <v>1695</v>
      </c>
      <c r="Q2113">
        <v>2024</v>
      </c>
    </row>
    <row r="2114" spans="16:17">
      <c r="P2114" t="s">
        <v>1243</v>
      </c>
      <c r="Q2114">
        <v>2024</v>
      </c>
    </row>
    <row r="2115" spans="16:17">
      <c r="P2115" t="s">
        <v>589</v>
      </c>
      <c r="Q2115">
        <v>2024</v>
      </c>
    </row>
    <row r="2116" spans="16:17">
      <c r="P2116" t="s">
        <v>1473</v>
      </c>
      <c r="Q2116">
        <v>2024</v>
      </c>
    </row>
    <row r="2117" spans="16:17">
      <c r="P2117" t="s">
        <v>1076</v>
      </c>
      <c r="Q2117">
        <v>2024</v>
      </c>
    </row>
    <row r="2118" spans="16:17">
      <c r="P2118" t="s">
        <v>1415</v>
      </c>
      <c r="Q2118">
        <v>2024</v>
      </c>
    </row>
    <row r="2119" spans="16:17">
      <c r="P2119" t="s">
        <v>1909</v>
      </c>
      <c r="Q2119">
        <v>2024</v>
      </c>
    </row>
    <row r="2120" spans="16:17">
      <c r="P2120" t="s">
        <v>2255</v>
      </c>
      <c r="Q2120">
        <v>2024</v>
      </c>
    </row>
    <row r="2121" spans="16:17">
      <c r="P2121" t="s">
        <v>793</v>
      </c>
      <c r="Q2121">
        <v>2024</v>
      </c>
    </row>
    <row r="2122" spans="16:17">
      <c r="P2122" t="s">
        <v>516</v>
      </c>
      <c r="Q2122">
        <v>2024</v>
      </c>
    </row>
    <row r="2123" spans="16:17">
      <c r="P2123" t="s">
        <v>924</v>
      </c>
      <c r="Q2123">
        <v>2024</v>
      </c>
    </row>
    <row r="2124" spans="16:17">
      <c r="P2124" t="s">
        <v>564</v>
      </c>
      <c r="Q2124">
        <v>2024</v>
      </c>
    </row>
    <row r="2125" spans="16:17">
      <c r="P2125" t="s">
        <v>873</v>
      </c>
      <c r="Q2125">
        <v>2024</v>
      </c>
    </row>
    <row r="2126" spans="16:17">
      <c r="P2126" t="s">
        <v>1516</v>
      </c>
      <c r="Q2126">
        <v>2024</v>
      </c>
    </row>
    <row r="2127" spans="16:17">
      <c r="P2127" t="s">
        <v>1461</v>
      </c>
      <c r="Q2127">
        <v>2024</v>
      </c>
    </row>
    <row r="2128" spans="16:17">
      <c r="P2128" t="s">
        <v>942</v>
      </c>
      <c r="Q2128">
        <v>2024</v>
      </c>
    </row>
    <row r="2129" spans="16:17">
      <c r="P2129" t="s">
        <v>282</v>
      </c>
      <c r="Q2129">
        <v>2024</v>
      </c>
    </row>
    <row r="2130" spans="16:17">
      <c r="P2130" t="s">
        <v>2114</v>
      </c>
      <c r="Q2130">
        <v>2024</v>
      </c>
    </row>
    <row r="2131" spans="16:17">
      <c r="P2131" t="s">
        <v>881</v>
      </c>
      <c r="Q2131">
        <v>2024</v>
      </c>
    </row>
    <row r="2132" spans="16:17">
      <c r="P2132" t="s">
        <v>771</v>
      </c>
      <c r="Q2132">
        <v>2024</v>
      </c>
    </row>
    <row r="2133" spans="16:17">
      <c r="P2133" t="s">
        <v>805</v>
      </c>
      <c r="Q2133">
        <v>2024</v>
      </c>
    </row>
    <row r="2134" spans="16:17">
      <c r="P2134" t="s">
        <v>489</v>
      </c>
      <c r="Q2134">
        <v>2024</v>
      </c>
    </row>
    <row r="2135" spans="16:17">
      <c r="P2135" t="s">
        <v>256</v>
      </c>
      <c r="Q2135">
        <v>2024</v>
      </c>
    </row>
    <row r="2136" spans="16:17">
      <c r="P2136" t="s">
        <v>711</v>
      </c>
      <c r="Q2136">
        <v>2024</v>
      </c>
    </row>
    <row r="2137" spans="16:17">
      <c r="P2137" t="s">
        <v>56</v>
      </c>
      <c r="Q2137">
        <v>2024</v>
      </c>
    </row>
    <row r="2138" spans="16:17">
      <c r="P2138" t="s">
        <v>297</v>
      </c>
      <c r="Q2138">
        <v>2024</v>
      </c>
    </row>
    <row r="2139" spans="16:17">
      <c r="P2139" t="s">
        <v>1435</v>
      </c>
      <c r="Q2139">
        <v>2024</v>
      </c>
    </row>
    <row r="2140" spans="16:17">
      <c r="P2140" t="s">
        <v>1663</v>
      </c>
      <c r="Q2140">
        <v>2024</v>
      </c>
    </row>
    <row r="2141" spans="16:17">
      <c r="P2141" t="s">
        <v>96</v>
      </c>
      <c r="Q2141">
        <v>2024</v>
      </c>
    </row>
    <row r="2142" spans="16:17">
      <c r="P2142" t="s">
        <v>412</v>
      </c>
      <c r="Q2142">
        <v>2024</v>
      </c>
    </row>
    <row r="2143" spans="16:17">
      <c r="P2143" t="s">
        <v>2437</v>
      </c>
      <c r="Q2143">
        <v>2024</v>
      </c>
    </row>
    <row r="2144" spans="16:17">
      <c r="P2144" t="s">
        <v>1819</v>
      </c>
      <c r="Q2144">
        <v>2024</v>
      </c>
    </row>
    <row r="2145" spans="16:17">
      <c r="P2145" t="s">
        <v>1183</v>
      </c>
      <c r="Q2145">
        <v>2024</v>
      </c>
    </row>
    <row r="2146" spans="16:17">
      <c r="P2146" t="s">
        <v>1198</v>
      </c>
      <c r="Q2146">
        <v>2024</v>
      </c>
    </row>
    <row r="2147" spans="16:17">
      <c r="P2147" t="s">
        <v>919</v>
      </c>
      <c r="Q2147">
        <v>2024</v>
      </c>
    </row>
    <row r="2148" spans="16:17">
      <c r="P2148" t="s">
        <v>736</v>
      </c>
      <c r="Q2148">
        <v>2024</v>
      </c>
    </row>
    <row r="2149" spans="16:17">
      <c r="P2149" t="s">
        <v>173</v>
      </c>
      <c r="Q2149">
        <v>2024</v>
      </c>
    </row>
    <row r="2150" spans="16:17">
      <c r="P2150" t="s">
        <v>419</v>
      </c>
      <c r="Q2150">
        <v>2024</v>
      </c>
    </row>
    <row r="2151" spans="16:17">
      <c r="P2151" t="s">
        <v>2227</v>
      </c>
      <c r="Q2151">
        <v>2024</v>
      </c>
    </row>
    <row r="2152" spans="16:17">
      <c r="P2152" t="s">
        <v>1426</v>
      </c>
      <c r="Q2152">
        <v>2024</v>
      </c>
    </row>
    <row r="2153" spans="16:17">
      <c r="P2153" t="s">
        <v>796</v>
      </c>
      <c r="Q2153">
        <v>2024</v>
      </c>
    </row>
    <row r="2154" spans="16:17">
      <c r="P2154" t="s">
        <v>464</v>
      </c>
      <c r="Q2154">
        <v>2024</v>
      </c>
    </row>
    <row r="2155" spans="16:17">
      <c r="P2155" t="s">
        <v>734</v>
      </c>
      <c r="Q2155">
        <v>2024</v>
      </c>
    </row>
    <row r="2156" spans="16:17">
      <c r="P2156" t="s">
        <v>902</v>
      </c>
      <c r="Q2156">
        <v>2024</v>
      </c>
    </row>
    <row r="2157" spans="16:17">
      <c r="P2157" t="s">
        <v>232</v>
      </c>
      <c r="Q2157">
        <v>2024</v>
      </c>
    </row>
    <row r="2158" spans="16:17">
      <c r="P2158" t="s">
        <v>48</v>
      </c>
      <c r="Q2158">
        <v>2024</v>
      </c>
    </row>
    <row r="2159" spans="16:17">
      <c r="P2159" t="s">
        <v>1079</v>
      </c>
      <c r="Q2159">
        <v>2024</v>
      </c>
    </row>
    <row r="2160" spans="16:17">
      <c r="P2160" t="s">
        <v>1619</v>
      </c>
      <c r="Q2160">
        <v>2024</v>
      </c>
    </row>
    <row r="2161" spans="16:17">
      <c r="P2161" t="s">
        <v>1785</v>
      </c>
      <c r="Q2161">
        <v>2024</v>
      </c>
    </row>
    <row r="2162" spans="16:17">
      <c r="P2162" t="s">
        <v>780</v>
      </c>
      <c r="Q2162">
        <v>2024</v>
      </c>
    </row>
    <row r="2163" spans="16:17">
      <c r="P2163" t="s">
        <v>380</v>
      </c>
      <c r="Q2163">
        <v>2024</v>
      </c>
    </row>
    <row r="2164" spans="16:17">
      <c r="P2164" t="s">
        <v>754</v>
      </c>
      <c r="Q2164">
        <v>2024</v>
      </c>
    </row>
    <row r="2165" spans="16:17">
      <c r="P2165" t="s">
        <v>470</v>
      </c>
      <c r="Q2165">
        <v>2024</v>
      </c>
    </row>
    <row r="2166" spans="16:17">
      <c r="P2166" t="s">
        <v>744</v>
      </c>
      <c r="Q2166">
        <v>2024</v>
      </c>
    </row>
    <row r="2167" spans="16:17">
      <c r="P2167" t="s">
        <v>1341</v>
      </c>
      <c r="Q2167">
        <v>2024</v>
      </c>
    </row>
    <row r="2168" spans="16:17">
      <c r="P2168" t="s">
        <v>375</v>
      </c>
      <c r="Q2168">
        <v>2024</v>
      </c>
    </row>
    <row r="2169" spans="16:17">
      <c r="P2169" t="s">
        <v>1914</v>
      </c>
      <c r="Q2169">
        <v>2024</v>
      </c>
    </row>
    <row r="2170" spans="16:17">
      <c r="P2170" t="s">
        <v>1570</v>
      </c>
      <c r="Q2170">
        <v>2024</v>
      </c>
    </row>
    <row r="2171" spans="16:17">
      <c r="P2171" t="s">
        <v>1736</v>
      </c>
      <c r="Q2171">
        <v>2024</v>
      </c>
    </row>
    <row r="2172" spans="16:17">
      <c r="P2172" t="s">
        <v>1440</v>
      </c>
      <c r="Q2172">
        <v>2024</v>
      </c>
    </row>
    <row r="2173" spans="16:17">
      <c r="P2173" t="s">
        <v>1922</v>
      </c>
      <c r="Q2173">
        <v>2024</v>
      </c>
    </row>
    <row r="2174" spans="16:17">
      <c r="P2174" t="s">
        <v>2465</v>
      </c>
      <c r="Q2174">
        <v>2024</v>
      </c>
    </row>
    <row r="2175" spans="16:17">
      <c r="P2175" t="s">
        <v>1403</v>
      </c>
      <c r="Q2175">
        <v>2024</v>
      </c>
    </row>
    <row r="2176" spans="16:17">
      <c r="P2176" t="s">
        <v>285</v>
      </c>
      <c r="Q2176">
        <v>2024</v>
      </c>
    </row>
    <row r="2177" spans="16:17">
      <c r="P2177" t="s">
        <v>1037</v>
      </c>
      <c r="Q2177">
        <v>2024</v>
      </c>
    </row>
    <row r="2178" spans="16:17">
      <c r="P2178" t="s">
        <v>719</v>
      </c>
      <c r="Q2178">
        <v>2024</v>
      </c>
    </row>
    <row r="2179" spans="16:17">
      <c r="P2179" t="s">
        <v>1005</v>
      </c>
      <c r="Q2179">
        <v>2024</v>
      </c>
    </row>
    <row r="2180" spans="16:17">
      <c r="P2180" t="s">
        <v>604</v>
      </c>
      <c r="Q2180">
        <v>2024</v>
      </c>
    </row>
    <row r="2181" spans="16:17">
      <c r="P2181" t="s">
        <v>1996</v>
      </c>
      <c r="Q2181">
        <v>2024</v>
      </c>
    </row>
    <row r="2182" spans="16:17">
      <c r="P2182" t="s">
        <v>626</v>
      </c>
      <c r="Q2182">
        <v>2024</v>
      </c>
    </row>
    <row r="2183" spans="16:17">
      <c r="P2183" t="s">
        <v>791</v>
      </c>
      <c r="Q2183">
        <v>2024</v>
      </c>
    </row>
    <row r="2184" spans="16:17">
      <c r="P2184" t="s">
        <v>909</v>
      </c>
      <c r="Q2184">
        <v>2024</v>
      </c>
    </row>
    <row r="2185" spans="16:17">
      <c r="P2185" t="s">
        <v>632</v>
      </c>
      <c r="Q2185">
        <v>2024</v>
      </c>
    </row>
    <row r="2186" spans="16:17">
      <c r="P2186" t="s">
        <v>667</v>
      </c>
      <c r="Q2186">
        <v>2024</v>
      </c>
    </row>
    <row r="2187" spans="16:17">
      <c r="P2187" t="s">
        <v>999</v>
      </c>
      <c r="Q2187">
        <v>2024</v>
      </c>
    </row>
    <row r="2188" spans="16:17">
      <c r="P2188" t="s">
        <v>409</v>
      </c>
      <c r="Q2188">
        <v>2024</v>
      </c>
    </row>
    <row r="2189" spans="16:17">
      <c r="P2189" t="s">
        <v>1277</v>
      </c>
      <c r="Q2189">
        <v>2024</v>
      </c>
    </row>
    <row r="2190" spans="16:17">
      <c r="P2190" t="s">
        <v>1115</v>
      </c>
      <c r="Q2190">
        <v>2024</v>
      </c>
    </row>
    <row r="2191" spans="16:17">
      <c r="P2191" t="s">
        <v>1507</v>
      </c>
      <c r="Q2191">
        <v>2024</v>
      </c>
    </row>
    <row r="2192" spans="16:17">
      <c r="P2192" t="s">
        <v>811</v>
      </c>
      <c r="Q2192">
        <v>2024</v>
      </c>
    </row>
    <row r="2193" spans="16:17">
      <c r="P2193" t="s">
        <v>2067</v>
      </c>
      <c r="Q2193">
        <v>2024</v>
      </c>
    </row>
    <row r="2194" spans="16:17">
      <c r="P2194" t="s">
        <v>1377</v>
      </c>
      <c r="Q2194">
        <v>2024</v>
      </c>
    </row>
    <row r="2195" spans="16:17">
      <c r="P2195" t="s">
        <v>1018</v>
      </c>
      <c r="Q2195">
        <v>2024</v>
      </c>
    </row>
    <row r="2196" spans="16:17">
      <c r="P2196" t="s">
        <v>214</v>
      </c>
      <c r="Q2196">
        <v>2024</v>
      </c>
    </row>
    <row r="2197" spans="16:17">
      <c r="P2197" t="s">
        <v>121</v>
      </c>
      <c r="Q2197">
        <v>2024</v>
      </c>
    </row>
    <row r="2198" spans="16:17">
      <c r="P2198" t="s">
        <v>861</v>
      </c>
      <c r="Q2198">
        <v>2024</v>
      </c>
    </row>
    <row r="2199" spans="16:17">
      <c r="P2199" t="s">
        <v>241</v>
      </c>
      <c r="Q2199">
        <v>2024</v>
      </c>
    </row>
    <row r="2200" spans="16:17">
      <c r="P2200" t="s">
        <v>1185</v>
      </c>
      <c r="Q2200">
        <v>2024</v>
      </c>
    </row>
    <row r="2201" spans="16:17">
      <c r="P2201" t="s">
        <v>569</v>
      </c>
      <c r="Q2201">
        <v>2024</v>
      </c>
    </row>
    <row r="2202" spans="16:17">
      <c r="P2202" t="s">
        <v>1469</v>
      </c>
      <c r="Q2202">
        <v>2024</v>
      </c>
    </row>
    <row r="2203" spans="16:17">
      <c r="P2203" t="s">
        <v>1343</v>
      </c>
      <c r="Q2203">
        <v>2024</v>
      </c>
    </row>
    <row r="2204" spans="16:17">
      <c r="P2204" t="s">
        <v>1131</v>
      </c>
      <c r="Q2204">
        <v>2024</v>
      </c>
    </row>
    <row r="2205" spans="16:17">
      <c r="P2205" t="s">
        <v>653</v>
      </c>
      <c r="Q2205">
        <v>2024</v>
      </c>
    </row>
    <row r="2206" spans="16:17">
      <c r="P2206" t="s">
        <v>1828</v>
      </c>
      <c r="Q2206">
        <v>2024</v>
      </c>
    </row>
    <row r="2207" spans="16:17">
      <c r="P2207" t="s">
        <v>2685</v>
      </c>
      <c r="Q2207">
        <v>2024</v>
      </c>
    </row>
    <row r="2208" spans="16:17">
      <c r="P2208" t="s">
        <v>2390</v>
      </c>
      <c r="Q2208">
        <v>2024</v>
      </c>
    </row>
    <row r="2209" spans="16:17">
      <c r="P2209" t="s">
        <v>726</v>
      </c>
      <c r="Q2209">
        <v>2024</v>
      </c>
    </row>
    <row r="2210" spans="16:17">
      <c r="P2210" t="s">
        <v>359</v>
      </c>
      <c r="Q2210">
        <v>2024</v>
      </c>
    </row>
    <row r="2211" spans="16:17">
      <c r="P2211" t="s">
        <v>357</v>
      </c>
      <c r="Q2211">
        <v>2024</v>
      </c>
    </row>
    <row r="2212" spans="16:17">
      <c r="P2212" t="s">
        <v>1175</v>
      </c>
      <c r="Q2212">
        <v>2024</v>
      </c>
    </row>
    <row r="2213" spans="16:17">
      <c r="P2213" t="s">
        <v>1659</v>
      </c>
      <c r="Q2213">
        <v>2024</v>
      </c>
    </row>
    <row r="2214" spans="16:17">
      <c r="P2214" t="s">
        <v>1209</v>
      </c>
      <c r="Q2214">
        <v>2024</v>
      </c>
    </row>
    <row r="2215" spans="16:17">
      <c r="P2215" t="s">
        <v>1336</v>
      </c>
      <c r="Q2215">
        <v>2024</v>
      </c>
    </row>
    <row r="2216" spans="16:17">
      <c r="P2216" t="s">
        <v>1485</v>
      </c>
      <c r="Q2216">
        <v>2024</v>
      </c>
    </row>
    <row r="2217" spans="16:17">
      <c r="P2217" t="s">
        <v>1195</v>
      </c>
      <c r="Q2217">
        <v>2024</v>
      </c>
    </row>
    <row r="2218" spans="16:17">
      <c r="P2218" t="s">
        <v>217</v>
      </c>
      <c r="Q2218">
        <v>2024</v>
      </c>
    </row>
    <row r="2219" spans="16:17">
      <c r="P2219" t="s">
        <v>1833</v>
      </c>
      <c r="Q2219">
        <v>2024</v>
      </c>
    </row>
    <row r="2220" spans="16:17">
      <c r="P2220" t="s">
        <v>2085</v>
      </c>
      <c r="Q2220">
        <v>2024</v>
      </c>
    </row>
    <row r="2221" spans="16:17">
      <c r="P2221" t="s">
        <v>435</v>
      </c>
      <c r="Q2221">
        <v>2024</v>
      </c>
    </row>
    <row r="2222" spans="16:17">
      <c r="P2222" t="s">
        <v>169</v>
      </c>
      <c r="Q2222">
        <v>2024</v>
      </c>
    </row>
    <row r="2223" spans="16:17">
      <c r="P2223" t="s">
        <v>2550</v>
      </c>
      <c r="Q2223">
        <v>2024</v>
      </c>
    </row>
    <row r="2224" spans="16:17">
      <c r="P2224" t="s">
        <v>682</v>
      </c>
      <c r="Q2224">
        <v>2024</v>
      </c>
    </row>
    <row r="2225" spans="16:17">
      <c r="P2225" t="s">
        <v>1729</v>
      </c>
      <c r="Q2225">
        <v>2024</v>
      </c>
    </row>
    <row r="2226" spans="16:17">
      <c r="P2226" t="s">
        <v>1953</v>
      </c>
      <c r="Q2226">
        <v>2024</v>
      </c>
    </row>
    <row r="2227" spans="16:17">
      <c r="P2227" t="s">
        <v>197</v>
      </c>
      <c r="Q2227">
        <v>2024</v>
      </c>
    </row>
    <row r="2228" spans="16:17">
      <c r="P2228" t="s">
        <v>309</v>
      </c>
      <c r="Q2228">
        <v>2024</v>
      </c>
    </row>
    <row r="2229" spans="16:17">
      <c r="P2229" t="s">
        <v>1654</v>
      </c>
      <c r="Q2229">
        <v>2024</v>
      </c>
    </row>
    <row r="2230" spans="16:17">
      <c r="P2230" t="s">
        <v>303</v>
      </c>
      <c r="Q2230">
        <v>2024</v>
      </c>
    </row>
    <row r="2231" spans="16:17">
      <c r="P2231" t="s">
        <v>1086</v>
      </c>
      <c r="Q2231">
        <v>2024</v>
      </c>
    </row>
    <row r="2232" spans="16:17">
      <c r="P2232" t="s">
        <v>1722</v>
      </c>
      <c r="Q2232">
        <v>2024</v>
      </c>
    </row>
    <row r="2233" spans="16:17">
      <c r="P2233" t="s">
        <v>824</v>
      </c>
      <c r="Q2233">
        <v>2024</v>
      </c>
    </row>
    <row r="2234" spans="16:17">
      <c r="P2234" t="s">
        <v>2158</v>
      </c>
      <c r="Q2234">
        <v>2024</v>
      </c>
    </row>
    <row r="2235" spans="16:17">
      <c r="P2235" t="s">
        <v>2039</v>
      </c>
      <c r="Q2235">
        <v>2024</v>
      </c>
    </row>
    <row r="2236" spans="16:17">
      <c r="P2236" t="s">
        <v>458</v>
      </c>
      <c r="Q2236">
        <v>2024</v>
      </c>
    </row>
    <row r="2237" spans="16:17">
      <c r="P2237" t="s">
        <v>1213</v>
      </c>
      <c r="Q2237">
        <v>2024</v>
      </c>
    </row>
    <row r="2238" spans="16:17">
      <c r="P2238" t="s">
        <v>2267</v>
      </c>
      <c r="Q2238">
        <v>2024</v>
      </c>
    </row>
    <row r="2239" spans="16:17">
      <c r="P2239" t="s">
        <v>1340</v>
      </c>
      <c r="Q2239">
        <v>2024</v>
      </c>
    </row>
    <row r="2240" spans="16:17">
      <c r="P2240" t="s">
        <v>293</v>
      </c>
      <c r="Q2240">
        <v>2024</v>
      </c>
    </row>
    <row r="2241" spans="16:17">
      <c r="P2241" t="s">
        <v>421</v>
      </c>
      <c r="Q2241">
        <v>2024</v>
      </c>
    </row>
    <row r="2242" spans="16:17">
      <c r="P2242" t="s">
        <v>1565</v>
      </c>
      <c r="Q2242">
        <v>2024</v>
      </c>
    </row>
    <row r="2243" spans="16:17">
      <c r="P2243" t="s">
        <v>2147</v>
      </c>
      <c r="Q2243">
        <v>2024</v>
      </c>
    </row>
    <row r="2244" spans="16:17">
      <c r="P2244" t="s">
        <v>1025</v>
      </c>
      <c r="Q2244">
        <v>2024</v>
      </c>
    </row>
    <row r="2245" spans="16:17">
      <c r="P2245" t="s">
        <v>1783</v>
      </c>
      <c r="Q2245">
        <v>2024</v>
      </c>
    </row>
    <row r="2246" spans="16:17">
      <c r="P2246" t="s">
        <v>2546</v>
      </c>
      <c r="Q2246">
        <v>2024</v>
      </c>
    </row>
    <row r="2247" spans="16:17">
      <c r="P2247" t="s">
        <v>2690</v>
      </c>
      <c r="Q2247">
        <v>2024</v>
      </c>
    </row>
    <row r="2248" spans="16:17">
      <c r="P2248" t="s">
        <v>385</v>
      </c>
      <c r="Q2248">
        <v>2024</v>
      </c>
    </row>
    <row r="2249" spans="16:17">
      <c r="P2249" t="s">
        <v>1334</v>
      </c>
      <c r="Q2249">
        <v>2024</v>
      </c>
    </row>
    <row r="2250" spans="16:17">
      <c r="P2250" t="s">
        <v>1179</v>
      </c>
      <c r="Q2250">
        <v>2024</v>
      </c>
    </row>
    <row r="2251" spans="16:17">
      <c r="P2251" t="s">
        <v>1993</v>
      </c>
      <c r="Q2251">
        <v>2024</v>
      </c>
    </row>
    <row r="2252" spans="16:17">
      <c r="P2252" t="s">
        <v>1815</v>
      </c>
      <c r="Q2252">
        <v>2024</v>
      </c>
    </row>
    <row r="2253" spans="16:17">
      <c r="P2253" t="s">
        <v>1497</v>
      </c>
      <c r="Q2253">
        <v>2024</v>
      </c>
    </row>
    <row r="2254" spans="16:17">
      <c r="P2254" t="s">
        <v>1513</v>
      </c>
      <c r="Q2254">
        <v>2024</v>
      </c>
    </row>
    <row r="2255" spans="16:17">
      <c r="P2255" t="s">
        <v>1548</v>
      </c>
      <c r="Q2255">
        <v>2024</v>
      </c>
    </row>
    <row r="2256" spans="16:17">
      <c r="P2256" t="s">
        <v>2035</v>
      </c>
      <c r="Q2256">
        <v>2024</v>
      </c>
    </row>
    <row r="2257" spans="16:17">
      <c r="P2257" t="s">
        <v>2692</v>
      </c>
      <c r="Q2257">
        <v>2024</v>
      </c>
    </row>
    <row r="2258" spans="16:17">
      <c r="P2258" t="s">
        <v>2441</v>
      </c>
      <c r="Q2258">
        <v>2024</v>
      </c>
    </row>
    <row r="2259" spans="16:17">
      <c r="P2259" t="s">
        <v>1211</v>
      </c>
      <c r="Q2259">
        <v>2024</v>
      </c>
    </row>
    <row r="2260" spans="16:17">
      <c r="P2260" t="s">
        <v>338</v>
      </c>
      <c r="Q2260">
        <v>2024</v>
      </c>
    </row>
    <row r="2261" spans="16:17">
      <c r="P2261" t="s">
        <v>698</v>
      </c>
      <c r="Q2261">
        <v>2024</v>
      </c>
    </row>
    <row r="2262" spans="16:17">
      <c r="P2262" t="s">
        <v>371</v>
      </c>
      <c r="Q2262">
        <v>2024</v>
      </c>
    </row>
    <row r="2263" spans="16:17">
      <c r="P2263" t="s">
        <v>850</v>
      </c>
      <c r="Q2263">
        <v>2024</v>
      </c>
    </row>
    <row r="2264" spans="16:17">
      <c r="P2264" t="s">
        <v>429</v>
      </c>
      <c r="Q2264">
        <v>2024</v>
      </c>
    </row>
    <row r="2265" spans="16:17">
      <c r="P2265" t="s">
        <v>1040</v>
      </c>
      <c r="Q2265">
        <v>2024</v>
      </c>
    </row>
    <row r="2266" spans="16:17">
      <c r="P2266" t="s">
        <v>1262</v>
      </c>
      <c r="Q2266">
        <v>2024</v>
      </c>
    </row>
    <row r="2267" spans="16:17">
      <c r="P2267" t="s">
        <v>1275</v>
      </c>
      <c r="Q2267">
        <v>2024</v>
      </c>
    </row>
    <row r="2268" spans="16:17">
      <c r="P2268" t="s">
        <v>184</v>
      </c>
      <c r="Q2268">
        <v>2024</v>
      </c>
    </row>
    <row r="2269" spans="16:17">
      <c r="P2269" t="s">
        <v>2128</v>
      </c>
      <c r="Q2269">
        <v>2024</v>
      </c>
    </row>
    <row r="2270" spans="16:17">
      <c r="P2270" t="s">
        <v>671</v>
      </c>
      <c r="Q2270">
        <v>2024</v>
      </c>
    </row>
    <row r="2271" spans="16:17">
      <c r="P2271" t="s">
        <v>60</v>
      </c>
      <c r="Q2271">
        <v>2024</v>
      </c>
    </row>
    <row r="2272" spans="16:17">
      <c r="P2272" t="s">
        <v>893</v>
      </c>
      <c r="Q2272">
        <v>2024</v>
      </c>
    </row>
    <row r="2273" spans="16:17">
      <c r="P2273" t="s">
        <v>1830</v>
      </c>
      <c r="Q2273">
        <v>2024</v>
      </c>
    </row>
    <row r="2274" spans="16:17">
      <c r="P2274" t="s">
        <v>2484</v>
      </c>
      <c r="Q2274">
        <v>2024</v>
      </c>
    </row>
    <row r="2275" spans="16:17">
      <c r="P2275" t="s">
        <v>1106</v>
      </c>
      <c r="Q2275">
        <v>2024</v>
      </c>
    </row>
    <row r="2276" spans="16:17">
      <c r="P2276" t="s">
        <v>819</v>
      </c>
      <c r="Q2276">
        <v>2024</v>
      </c>
    </row>
    <row r="2277" spans="16:17">
      <c r="P2277" t="s">
        <v>1281</v>
      </c>
      <c r="Q2277">
        <v>2024</v>
      </c>
    </row>
    <row r="2278" spans="16:17">
      <c r="P2278" t="s">
        <v>163</v>
      </c>
      <c r="Q2278">
        <v>2024</v>
      </c>
    </row>
    <row r="2279" spans="16:17">
      <c r="P2279" t="s">
        <v>1140</v>
      </c>
      <c r="Q2279">
        <v>2024</v>
      </c>
    </row>
    <row r="2280" spans="16:17">
      <c r="P2280" t="s">
        <v>1232</v>
      </c>
      <c r="Q2280">
        <v>2024</v>
      </c>
    </row>
    <row r="2281" spans="16:17">
      <c r="P2281" t="s">
        <v>182</v>
      </c>
      <c r="Q2281">
        <v>2024</v>
      </c>
    </row>
    <row r="2282" spans="16:17">
      <c r="P2282" t="s">
        <v>1479</v>
      </c>
      <c r="Q2282">
        <v>2024</v>
      </c>
    </row>
    <row r="2283" spans="16:17">
      <c r="P2283" t="s">
        <v>327</v>
      </c>
      <c r="Q2283">
        <v>2024</v>
      </c>
    </row>
    <row r="2284" spans="16:17">
      <c r="P2284" t="s">
        <v>405</v>
      </c>
      <c r="Q2284">
        <v>2024</v>
      </c>
    </row>
    <row r="2285" spans="16:17">
      <c r="P2285" t="s">
        <v>1223</v>
      </c>
      <c r="Q2285">
        <v>2024</v>
      </c>
    </row>
    <row r="2286" spans="16:17">
      <c r="P2286" t="s">
        <v>2382</v>
      </c>
      <c r="Q2286">
        <v>2024</v>
      </c>
    </row>
    <row r="2287" spans="16:17">
      <c r="P2287" t="s">
        <v>239</v>
      </c>
      <c r="Q2287">
        <v>2024</v>
      </c>
    </row>
    <row r="2288" spans="16:17">
      <c r="P2288" t="s">
        <v>595</v>
      </c>
      <c r="Q2288">
        <v>2024</v>
      </c>
    </row>
    <row r="2289" spans="16:17">
      <c r="P2289" t="s">
        <v>1078</v>
      </c>
      <c r="Q2289">
        <v>2024</v>
      </c>
    </row>
    <row r="2290" spans="16:17">
      <c r="P2290" t="s">
        <v>2214</v>
      </c>
      <c r="Q2290">
        <v>2024</v>
      </c>
    </row>
    <row r="2291" spans="16:17">
      <c r="P2291" t="s">
        <v>648</v>
      </c>
      <c r="Q2291">
        <v>2024</v>
      </c>
    </row>
    <row r="2292" spans="16:17">
      <c r="P2292" t="s">
        <v>2278</v>
      </c>
      <c r="Q2292">
        <v>2024</v>
      </c>
    </row>
    <row r="2293" spans="16:17">
      <c r="P2293" t="s">
        <v>2256</v>
      </c>
      <c r="Q2293">
        <v>2024</v>
      </c>
    </row>
    <row r="2294" spans="16:17">
      <c r="P2294" t="s">
        <v>2539</v>
      </c>
      <c r="Q2294">
        <v>2024</v>
      </c>
    </row>
    <row r="2295" spans="16:17">
      <c r="P2295" t="s">
        <v>514</v>
      </c>
      <c r="Q2295">
        <v>2024</v>
      </c>
    </row>
    <row r="2296" spans="16:17">
      <c r="P2296" t="s">
        <v>507</v>
      </c>
      <c r="Q2296">
        <v>2024</v>
      </c>
    </row>
    <row r="2297" spans="16:17">
      <c r="P2297" t="s">
        <v>674</v>
      </c>
      <c r="Q2297">
        <v>2024</v>
      </c>
    </row>
    <row r="2298" spans="16:17">
      <c r="P2298" t="s">
        <v>1044</v>
      </c>
      <c r="Q2298">
        <v>2024</v>
      </c>
    </row>
    <row r="2299" spans="16:17">
      <c r="P2299" t="s">
        <v>1799</v>
      </c>
      <c r="Q2299">
        <v>2024</v>
      </c>
    </row>
    <row r="2300" spans="16:17">
      <c r="P2300" t="s">
        <v>1504</v>
      </c>
      <c r="Q2300">
        <v>2024</v>
      </c>
    </row>
    <row r="2301" spans="16:17">
      <c r="P2301" t="s">
        <v>400</v>
      </c>
      <c r="Q2301">
        <v>2024</v>
      </c>
    </row>
    <row r="2302" spans="16:17">
      <c r="P2302" t="s">
        <v>1150</v>
      </c>
      <c r="Q2302">
        <v>2024</v>
      </c>
    </row>
    <row r="2303" spans="16:17">
      <c r="P2303" t="s">
        <v>601</v>
      </c>
      <c r="Q2303">
        <v>2024</v>
      </c>
    </row>
    <row r="2304" spans="16:17">
      <c r="P2304" t="s">
        <v>2105</v>
      </c>
      <c r="Q2304">
        <v>2024</v>
      </c>
    </row>
    <row r="2305" spans="16:17">
      <c r="P2305" t="s">
        <v>1943</v>
      </c>
      <c r="Q2305">
        <v>2024</v>
      </c>
    </row>
    <row r="2306" spans="16:17">
      <c r="P2306" t="s">
        <v>891</v>
      </c>
      <c r="Q2306">
        <v>2024</v>
      </c>
    </row>
    <row r="2307" spans="16:17">
      <c r="P2307" t="s">
        <v>547</v>
      </c>
      <c r="Q2307">
        <v>2024</v>
      </c>
    </row>
    <row r="2308" spans="16:17">
      <c r="P2308" t="s">
        <v>2616</v>
      </c>
      <c r="Q2308">
        <v>2024</v>
      </c>
    </row>
    <row r="2309" spans="16:17">
      <c r="P2309" t="s">
        <v>1297</v>
      </c>
      <c r="Q2309">
        <v>2024</v>
      </c>
    </row>
    <row r="2310" spans="16:17">
      <c r="P2310" t="s">
        <v>2325</v>
      </c>
      <c r="Q2310">
        <v>2024</v>
      </c>
    </row>
    <row r="2311" spans="16:17">
      <c r="P2311" t="s">
        <v>2106</v>
      </c>
      <c r="Q2311">
        <v>2024</v>
      </c>
    </row>
    <row r="2312" spans="16:17">
      <c r="P2312" t="s">
        <v>1214</v>
      </c>
      <c r="Q2312">
        <v>2024</v>
      </c>
    </row>
    <row r="2313" spans="16:17">
      <c r="P2313" t="s">
        <v>2626</v>
      </c>
      <c r="Q2313">
        <v>2024</v>
      </c>
    </row>
    <row r="2314" spans="16:17">
      <c r="P2314" t="s">
        <v>1937</v>
      </c>
      <c r="Q2314">
        <v>2024</v>
      </c>
    </row>
    <row r="2315" spans="16:17">
      <c r="P2315" t="s">
        <v>1305</v>
      </c>
      <c r="Q2315">
        <v>2024</v>
      </c>
    </row>
    <row r="2316" spans="16:17">
      <c r="P2316" t="s">
        <v>1674</v>
      </c>
      <c r="Q2316">
        <v>2024</v>
      </c>
    </row>
    <row r="2317" spans="16:17">
      <c r="P2317" t="s">
        <v>2015</v>
      </c>
      <c r="Q2317">
        <v>2024</v>
      </c>
    </row>
    <row r="2318" spans="16:17">
      <c r="P2318" t="s">
        <v>1251</v>
      </c>
      <c r="Q2318">
        <v>2024</v>
      </c>
    </row>
    <row r="2319" spans="16:17">
      <c r="P2319" t="s">
        <v>1976</v>
      </c>
      <c r="Q2319">
        <v>2024</v>
      </c>
    </row>
    <row r="2320" spans="16:17">
      <c r="P2320" t="s">
        <v>246</v>
      </c>
      <c r="Q2320">
        <v>2024</v>
      </c>
    </row>
    <row r="2321" spans="16:17">
      <c r="P2321" t="s">
        <v>953</v>
      </c>
      <c r="Q2321">
        <v>2024</v>
      </c>
    </row>
    <row r="2322" spans="16:17">
      <c r="P2322" t="s">
        <v>1576</v>
      </c>
      <c r="Q2322">
        <v>2024</v>
      </c>
    </row>
    <row r="2323" spans="16:17">
      <c r="P2323" t="s">
        <v>904</v>
      </c>
      <c r="Q2323">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821A-60FC-4F6B-B1B9-E0148BDDADF8}">
  <dimension ref="A33"/>
  <sheetViews>
    <sheetView showGridLines="0" tabSelected="1" zoomScale="86" zoomScaleNormal="86" workbookViewId="0">
      <selection activeCell="R28" sqref="R28"/>
    </sheetView>
  </sheetViews>
  <sheetFormatPr defaultRowHeight="13.8"/>
  <sheetData>
    <row r="33" customForma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ASUS</cp:lastModifiedBy>
  <dcterms:created xsi:type="dcterms:W3CDTF">2025-11-07T12:45:26Z</dcterms:created>
  <dcterms:modified xsi:type="dcterms:W3CDTF">2026-03-28T06:13:29Z</dcterms:modified>
</cp:coreProperties>
</file>